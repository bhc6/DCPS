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3\Desktop\project\"/>
    </mc:Choice>
  </mc:AlternateContent>
  <xr:revisionPtr revIDLastSave="0" documentId="8_{C8C241F0-18EA-4248-B779-A15C1EED8412}" xr6:coauthVersionLast="47" xr6:coauthVersionMax="47" xr10:uidLastSave="{00000000-0000-0000-0000-000000000000}"/>
  <bookViews>
    <workbookView xWindow="-98" yWindow="-98" windowWidth="23236" windowHeight="13875" activeTab="3" xr2:uid="{0C494DE3-58B9-4C77-940F-0F9AAB3AD643}"/>
  </bookViews>
  <sheets>
    <sheet name="MMLU" sheetId="1" r:id="rId1"/>
    <sheet name="FewShotTextClassification AVE" sheetId="8" r:id="rId2"/>
    <sheet name="II 24" sheetId="9" r:id="rId3"/>
    <sheet name="BBII" sheetId="10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4" i="1" l="1"/>
  <c r="E134" i="1"/>
  <c r="D134" i="1"/>
  <c r="F133" i="1"/>
  <c r="E133" i="1"/>
  <c r="D133" i="1"/>
  <c r="F119" i="1"/>
  <c r="E119" i="1"/>
  <c r="D119" i="1"/>
  <c r="F105" i="1"/>
  <c r="E105" i="1"/>
  <c r="D105" i="1"/>
  <c r="F92" i="1"/>
  <c r="E92" i="1"/>
  <c r="D92" i="1"/>
  <c r="C134" i="1"/>
  <c r="C133" i="1"/>
  <c r="C119" i="1"/>
  <c r="C105" i="1"/>
  <c r="C92" i="1"/>
  <c r="K60" i="9"/>
  <c r="H61" i="9"/>
  <c r="H60" i="9"/>
  <c r="G60" i="9"/>
  <c r="F60" i="9"/>
  <c r="E60" i="9"/>
  <c r="D60" i="9"/>
  <c r="C60" i="9"/>
  <c r="W21" i="10"/>
  <c r="V21" i="10"/>
  <c r="U21" i="10"/>
  <c r="W14" i="10"/>
  <c r="V14" i="10"/>
  <c r="U14" i="10"/>
  <c r="I45" i="8"/>
  <c r="H45" i="8"/>
  <c r="G45" i="8"/>
  <c r="F45" i="8"/>
  <c r="E45" i="8"/>
  <c r="D45" i="8"/>
  <c r="C45" i="8"/>
  <c r="I43" i="8"/>
  <c r="I42" i="8"/>
  <c r="I13" i="8"/>
  <c r="Q13" i="8"/>
  <c r="E16" i="8"/>
  <c r="F16" i="8"/>
  <c r="G16" i="8"/>
  <c r="P63" i="1"/>
  <c r="P62" i="1"/>
  <c r="P48" i="1"/>
  <c r="P34" i="1"/>
  <c r="P21" i="1"/>
  <c r="H21" i="10"/>
  <c r="E21" i="10"/>
  <c r="F21" i="10"/>
  <c r="G21" i="10"/>
  <c r="I21" i="10"/>
  <c r="J21" i="10"/>
  <c r="K21" i="10"/>
  <c r="L21" i="10"/>
  <c r="D21" i="10"/>
  <c r="E14" i="10"/>
  <c r="F14" i="10"/>
  <c r="G14" i="10"/>
  <c r="H14" i="10"/>
  <c r="I14" i="10"/>
  <c r="J14" i="10"/>
  <c r="K14" i="10"/>
  <c r="L14" i="10"/>
  <c r="D14" i="10"/>
  <c r="I26" i="9"/>
  <c r="J26" i="9"/>
  <c r="L63" i="1"/>
  <c r="L62" i="1"/>
  <c r="L48" i="1"/>
  <c r="L34" i="1"/>
  <c r="L21" i="1"/>
  <c r="I30" i="8"/>
  <c r="I29" i="8"/>
  <c r="K21" i="1"/>
  <c r="K34" i="1"/>
  <c r="K48" i="1"/>
  <c r="K62" i="1"/>
  <c r="K63" i="1"/>
  <c r="K26" i="9"/>
  <c r="O26" i="9"/>
  <c r="H26" i="9"/>
  <c r="L26" i="9"/>
  <c r="N26" i="9"/>
  <c r="M26" i="9"/>
  <c r="D26" i="9"/>
  <c r="E26" i="9"/>
  <c r="F26" i="9"/>
  <c r="G26" i="9"/>
  <c r="C26" i="9"/>
  <c r="I22" i="8"/>
  <c r="I23" i="8"/>
  <c r="I24" i="8"/>
  <c r="I25" i="8"/>
  <c r="O63" i="1"/>
  <c r="O62" i="1"/>
  <c r="O48" i="1"/>
  <c r="O34" i="1"/>
  <c r="O21" i="1"/>
  <c r="N63" i="1"/>
  <c r="N62" i="1"/>
  <c r="N48" i="1"/>
  <c r="N34" i="1"/>
  <c r="N21" i="1"/>
  <c r="M63" i="1"/>
  <c r="M62" i="1"/>
  <c r="M48" i="1"/>
  <c r="M21" i="1"/>
  <c r="M34" i="1"/>
  <c r="C16" i="8"/>
  <c r="H16" i="8"/>
  <c r="D16" i="8"/>
  <c r="I14" i="8"/>
  <c r="J63" i="1"/>
  <c r="J62" i="1"/>
  <c r="J48" i="1"/>
  <c r="J21" i="1"/>
  <c r="J34" i="1"/>
  <c r="I63" i="1"/>
  <c r="D63" i="1"/>
  <c r="E63" i="1"/>
  <c r="F63" i="1"/>
  <c r="G63" i="1"/>
  <c r="H63" i="1"/>
  <c r="C63" i="1"/>
  <c r="D62" i="1"/>
  <c r="E62" i="1"/>
  <c r="F62" i="1"/>
  <c r="G62" i="1"/>
  <c r="H62" i="1"/>
  <c r="I62" i="1"/>
  <c r="C62" i="1"/>
  <c r="D48" i="1"/>
  <c r="E48" i="1"/>
  <c r="F48" i="1"/>
  <c r="G48" i="1"/>
  <c r="H48" i="1"/>
  <c r="I48" i="1"/>
  <c r="C48" i="1"/>
  <c r="D34" i="1"/>
  <c r="E34" i="1"/>
  <c r="F34" i="1"/>
  <c r="G34" i="1"/>
  <c r="H34" i="1"/>
  <c r="I34" i="1"/>
  <c r="C34" i="1"/>
  <c r="D21" i="1"/>
  <c r="E21" i="1"/>
  <c r="F21" i="1"/>
  <c r="G21" i="1"/>
  <c r="H21" i="1"/>
  <c r="I21" i="1"/>
  <c r="C21" i="1"/>
  <c r="J60" i="9" l="1"/>
  <c r="I16" i="8"/>
</calcChain>
</file>

<file path=xl/sharedStrings.xml><?xml version="1.0" encoding="utf-8"?>
<sst xmlns="http://schemas.openxmlformats.org/spreadsheetml/2006/main" count="694" uniqueCount="281">
  <si>
    <t>类型</t>
  </si>
  <si>
    <t>主题 (Subject)</t>
  </si>
  <si>
    <t>Fewshot+ Manual</t>
  </si>
  <si>
    <t>CoT</t>
  </si>
  <si>
    <t>APE</t>
  </si>
  <si>
    <t>ProTeGi</t>
  </si>
  <si>
    <t>StablePrompt</t>
  </si>
  <si>
    <t>TTE- StablePrompt</t>
  </si>
  <si>
    <t>STEM</t>
  </si>
  <si>
    <t>abstract algebra</t>
  </si>
  <si>
    <t>anatomy</t>
  </si>
  <si>
    <t>astronomy</t>
  </si>
  <si>
    <t>college biology</t>
  </si>
  <si>
    <t>college chemistry</t>
  </si>
  <si>
    <t>college computer science</t>
  </si>
  <si>
    <t>college mathematics</t>
  </si>
  <si>
    <t>college physics</t>
  </si>
  <si>
    <t>computer security</t>
  </si>
  <si>
    <t>conceptual physics</t>
  </si>
  <si>
    <t>electrical engineering</t>
  </si>
  <si>
    <t>elementary mathematics</t>
  </si>
  <si>
    <t>high school biology</t>
  </si>
  <si>
    <t>high school chemistry</t>
  </si>
  <si>
    <t>high school computer science</t>
  </si>
  <si>
    <t>high school mathematics</t>
  </si>
  <si>
    <t>high school physics</t>
  </si>
  <si>
    <t>high school statistics</t>
  </si>
  <si>
    <t>machine learning</t>
  </si>
  <si>
    <t>---</t>
  </si>
  <si>
    <t>Social Science</t>
  </si>
  <si>
    <t>econometrics</t>
  </si>
  <si>
    <t>high school geography</t>
  </si>
  <si>
    <t>high school gov. &amp; politics</t>
  </si>
  <si>
    <t>high school macroeconomics</t>
  </si>
  <si>
    <t>high school microeconomics</t>
  </si>
  <si>
    <t>high school psychology</t>
  </si>
  <si>
    <t>human sexuality</t>
  </si>
  <si>
    <t>professional psychology</t>
  </si>
  <si>
    <t>public relations</t>
  </si>
  <si>
    <t>security studies</t>
  </si>
  <si>
    <t>sociology</t>
  </si>
  <si>
    <t>us foreign policy</t>
  </si>
  <si>
    <t>Humanities</t>
  </si>
  <si>
    <t>formal logic</t>
  </si>
  <si>
    <t>high school european history</t>
  </si>
  <si>
    <t>high school us history</t>
  </si>
  <si>
    <t>high school world history</t>
  </si>
  <si>
    <t>international law</t>
  </si>
  <si>
    <t>jurisprudence</t>
  </si>
  <si>
    <t>logical fallacies</t>
  </si>
  <si>
    <t>moral disputes</t>
  </si>
  <si>
    <t>moral scenarios</t>
  </si>
  <si>
    <t>philosophy</t>
  </si>
  <si>
    <t>prehistory</t>
  </si>
  <si>
    <t>professional law</t>
  </si>
  <si>
    <t>world religions</t>
  </si>
  <si>
    <t>Others</t>
  </si>
  <si>
    <t>business ethics</t>
  </si>
  <si>
    <t>clinical knowledge</t>
  </si>
  <si>
    <t>college medicine</t>
  </si>
  <si>
    <t>global facts</t>
  </si>
  <si>
    <t>human aging</t>
  </si>
  <si>
    <t>management</t>
  </si>
  <si>
    <t>marketing</t>
  </si>
  <si>
    <t>medical genetics</t>
  </si>
  <si>
    <t>miscellaneous</t>
  </si>
  <si>
    <t>nutrition</t>
  </si>
  <si>
    <t>professional accounting</t>
  </si>
  <si>
    <t>professional medicine</t>
  </si>
  <si>
    <t>virology</t>
  </si>
  <si>
    <t>qars260110</t>
    <phoneticPr fontId="3" type="noConversion"/>
  </si>
  <si>
    <t>AVE</t>
    <phoneticPr fontId="3" type="noConversion"/>
  </si>
  <si>
    <t>TotalAVE</t>
    <phoneticPr fontId="3" type="noConversion"/>
  </si>
  <si>
    <t>qars12151</t>
    <phoneticPr fontId="3" type="noConversion"/>
  </si>
  <si>
    <t>Nullppo</t>
  </si>
  <si>
    <t>Average</t>
  </si>
  <si>
    <t>Method Category</t>
  </si>
  <si>
    <t>Method</t>
  </si>
  <si>
    <t>SST-2</t>
  </si>
  <si>
    <t>MRPC</t>
  </si>
  <si>
    <t>RTE</t>
  </si>
  <si>
    <t>QNLI</t>
  </si>
  <si>
    <t>MNLI</t>
  </si>
  <si>
    <t>SNLI</t>
  </si>
  <si>
    <t>Fine-Tuning</t>
  </si>
  <si>
    <t>Soft prompt tuning</t>
  </si>
  <si>
    <t>Fixed prompt</t>
  </si>
  <si>
    <t>Manual prompt</t>
  </si>
  <si>
    <t>Zero-shot CoT</t>
  </si>
  <si>
    <t>Few-shot prompt</t>
  </si>
  <si>
    <t>Discrete prompt tuning</t>
  </si>
  <si>
    <t>GrIPS</t>
  </si>
  <si>
    <t>84.7(±4.6)</t>
  </si>
  <si>
    <t>55.6(±2.6)</t>
  </si>
  <si>
    <t>60.9(±3.5)</t>
  </si>
  <si>
    <t>28.9(±1.2)</t>
  </si>
  <si>
    <t>44.4(±1.1)</t>
  </si>
  <si>
    <t>63.5(±2.3)</t>
  </si>
  <si>
    <t>PromptBoosting</t>
  </si>
  <si>
    <t>65.4(±1.0)</t>
  </si>
  <si>
    <t>52.7(±1.1)</t>
  </si>
  <si>
    <t>71.6(±0.9)</t>
  </si>
  <si>
    <t>71.6(±1.1)</t>
  </si>
  <si>
    <t>35.5(±1.4)</t>
  </si>
  <si>
    <t>52.6(±1.8)</t>
  </si>
  <si>
    <t>83.2(±7.7)</t>
  </si>
  <si>
    <t>55.3(±4.9)</t>
  </si>
  <si>
    <t>78.6(±1.3)</t>
  </si>
  <si>
    <t>75.0(±2.2)</t>
  </si>
  <si>
    <t>54.6(±7.9)</t>
  </si>
  <si>
    <t>72.3(±4.8)</t>
  </si>
  <si>
    <t>69.2(±8.4)</t>
  </si>
  <si>
    <t>48.8(±1.3)</t>
  </si>
  <si>
    <t>73.2(±6.3)</t>
  </si>
  <si>
    <t>74.2(±7.7)</t>
  </si>
  <si>
    <t>56.6(±10.9)</t>
  </si>
  <si>
    <t>61.3(±12.3)</t>
  </si>
  <si>
    <t>RLprompt</t>
  </si>
  <si>
    <t>70.8(±6.5)</t>
  </si>
  <si>
    <t>56.0(±1.5)</t>
  </si>
  <si>
    <t>67.3(±2.5)</t>
  </si>
  <si>
    <t>62.6(±1.3)</t>
  </si>
  <si>
    <t>54.6(±1.9)</t>
  </si>
  <si>
    <t>56.6(±1.3)</t>
  </si>
  <si>
    <t>StablePrompt (Ours)</t>
  </si>
  <si>
    <t>92.5(±1.3)</t>
  </si>
  <si>
    <t>71.3(±3.4)</t>
  </si>
  <si>
    <t>81.5(±2.8)</t>
  </si>
  <si>
    <t>75.9(±1.4)</t>
  </si>
  <si>
    <t>63.3(±1.2)</t>
  </si>
  <si>
    <t>74.1(±1.4)</t>
  </si>
  <si>
    <t>seed42_acc_only</t>
  </si>
  <si>
    <t>qa_gfb_3_cs0.1</t>
    <phoneticPr fontId="3" type="noConversion"/>
  </si>
  <si>
    <t>qa_gfb_42_cs0</t>
    <phoneticPr fontId="3" type="noConversion"/>
  </si>
  <si>
    <t>qa_gfb_3_cs0</t>
    <phoneticPr fontId="3" type="noConversion"/>
  </si>
  <si>
    <t>cs0.05 ca3</t>
    <phoneticPr fontId="3" type="noConversion"/>
  </si>
  <si>
    <t>seed42_cs0.1_softmax_error</t>
    <phoneticPr fontId="3" type="noConversion"/>
  </si>
  <si>
    <t>TOTAL</t>
    <phoneticPr fontId="3" type="noConversion"/>
  </si>
  <si>
    <t>seed3_acc_only</t>
    <phoneticPr fontId="3" type="noConversion"/>
  </si>
  <si>
    <t>seed3_cs0.1 A100</t>
    <phoneticPr fontId="3" type="noConversion"/>
  </si>
  <si>
    <t>seed3_acc_only A40</t>
    <phoneticPr fontId="3" type="noConversion"/>
  </si>
  <si>
    <t>seed666_cs0.1 A40</t>
    <phoneticPr fontId="3" type="noConversion"/>
  </si>
  <si>
    <t>seed666_acc_only A40</t>
    <phoneticPr fontId="3" type="noConversion"/>
  </si>
  <si>
    <t>Task Name</t>
  </si>
  <si>
    <t>Metric</t>
  </si>
  <si>
    <t>Fewshot</t>
  </si>
  <si>
    <t>Manual</t>
  </si>
  <si>
    <t>antonyms</t>
  </si>
  <si>
    <t>Exact Match</t>
  </si>
  <si>
    <t>word in context</t>
  </si>
  <si>
    <t>rhymes</t>
  </si>
  <si>
    <t>num to verbal</t>
  </si>
  <si>
    <t>cause and effect</t>
  </si>
  <si>
    <t>larger animal</t>
  </si>
  <si>
    <t>second word letter</t>
  </si>
  <si>
    <t>taxonomy animal</t>
  </si>
  <si>
    <t>Exact Set</t>
  </si>
  <si>
    <t>negation</t>
  </si>
  <si>
    <t>common concept</t>
  </si>
  <si>
    <t>F1</t>
  </si>
  <si>
    <t>diff</t>
  </si>
  <si>
    <t>translation en-es</t>
  </si>
  <si>
    <t>orthography starts with</t>
  </si>
  <si>
    <t>sentiment</t>
  </si>
  <si>
    <t>informal to formal</t>
  </si>
  <si>
    <t>sum</t>
  </si>
  <si>
    <t>singular to plural</t>
  </si>
  <si>
    <t>active to passive</t>
  </si>
  <si>
    <t>translation en-de</t>
  </si>
  <si>
    <t>sentence similarity</t>
  </si>
  <si>
    <t>translation en-fr</t>
  </si>
  <si>
    <t>letters list</t>
  </si>
  <si>
    <t>first word letter</t>
  </si>
  <si>
    <t>synonyms</t>
  </si>
  <si>
    <t>Contains</t>
  </si>
  <si>
    <t>GFB_s42</t>
    <phoneticPr fontId="3" type="noConversion"/>
  </si>
  <si>
    <t>0.5034773952111413</t>
  </si>
  <si>
    <t>StablePrompt_re</t>
    <phoneticPr fontId="3" type="noConversion"/>
  </si>
  <si>
    <t>0.16874999999999998</t>
  </si>
  <si>
    <t>0.30416990416990414</t>
  </si>
  <si>
    <t>GFB_s3</t>
    <phoneticPr fontId="3" type="noConversion"/>
  </si>
  <si>
    <t>0.39909645909645913</t>
  </si>
  <si>
    <t>GFB_s3_re</t>
    <phoneticPr fontId="3" type="noConversion"/>
  </si>
  <si>
    <t>0.38351204351204354</t>
  </si>
  <si>
    <t>StablePrompt_correct</t>
    <phoneticPr fontId="3" type="noConversion"/>
  </si>
  <si>
    <t>GFB_s6</t>
    <phoneticPr fontId="3" type="noConversion"/>
  </si>
  <si>
    <t>qa_gfb_42_cs0.05ca3</t>
    <phoneticPr fontId="3" type="noConversion"/>
  </si>
  <si>
    <t>qa_gfb_42_cs0.05ca3_bs5</t>
    <phoneticPr fontId="3" type="noConversion"/>
  </si>
  <si>
    <t>qa_gfb_42_cs0.05ca3_bs4 A100</t>
    <phoneticPr fontId="3" type="noConversion"/>
  </si>
  <si>
    <t>task name</t>
  </si>
  <si>
    <t>type</t>
  </si>
  <si>
    <t>fewshot</t>
  </si>
  <si>
    <t>manual</t>
  </si>
  <si>
    <t>PromptAgent</t>
  </si>
  <si>
    <t>causal judgment</t>
  </si>
  <si>
    <t>Multiple Choice</t>
  </si>
  <si>
    <t>Accuracy</t>
  </si>
  <si>
    <t>disambiguation qa</t>
  </si>
  <si>
    <t>epistemic reasoning</t>
  </si>
  <si>
    <t>hyperbaton</t>
  </si>
  <si>
    <t>implicatures</t>
  </si>
  <si>
    <t>logical fallacy detection</t>
  </si>
  <si>
    <t>movie recommendation</t>
  </si>
  <si>
    <t>navigate</t>
  </si>
  <si>
    <t>presuppositions as nli</t>
  </si>
  <si>
    <t>ruin names</t>
  </si>
  <si>
    <t>snarks</t>
  </si>
  <si>
    <t>sportsunderstanding</t>
  </si>
  <si>
    <t>dyck languages</t>
  </si>
  <si>
    <t>Generation</t>
  </si>
  <si>
    <t>-</t>
  </si>
  <si>
    <t>object counting</t>
  </si>
  <si>
    <t>operators</t>
  </si>
  <si>
    <t>tense</t>
  </si>
  <si>
    <t>word sorting</t>
  </si>
  <si>
    <t>GFB_seed6</t>
    <phoneticPr fontId="3" type="noConversion"/>
  </si>
  <si>
    <t>GFB_seed42</t>
    <phoneticPr fontId="3" type="noConversion"/>
  </si>
  <si>
    <t>GFB_seed3</t>
    <phoneticPr fontId="3" type="noConversion"/>
  </si>
  <si>
    <t>GFB_s6_100</t>
    <phoneticPr fontId="3" type="noConversion"/>
  </si>
  <si>
    <t>GFB_s6_200</t>
    <phoneticPr fontId="3" type="noConversion"/>
  </si>
  <si>
    <t>GFLOWPO</t>
  </si>
  <si>
    <t>93.0±0.6</t>
  </si>
  <si>
    <t>69.6±4.2</t>
  </si>
  <si>
    <t>82.0±2.5</t>
  </si>
  <si>
    <t>80.2±3.4</t>
  </si>
  <si>
    <t>68.7±3.2</t>
  </si>
  <si>
    <t>78.6±2.7</t>
  </si>
  <si>
    <t>58.75±1.08</t>
  </si>
  <si>
    <t>64.77±1.11</t>
  </si>
  <si>
    <t>58.97±5.19</t>
  </si>
  <si>
    <t>74.82±3.72</t>
  </si>
  <si>
    <t>85.43±0.97</t>
  </si>
  <si>
    <t>53.19± 0.22</t>
  </si>
  <si>
    <t>73.55±3.82</t>
  </si>
  <si>
    <t>52.47±0.31</t>
  </si>
  <si>
    <t>45.96±2.34</t>
  </si>
  <si>
    <t>27.76±1.75</t>
  </si>
  <si>
    <t>60.04±5.31</t>
  </si>
  <si>
    <t>65.91±2.00</t>
  </si>
  <si>
    <t>0.00±0.00</t>
  </si>
  <si>
    <t>90.44±0.68</t>
  </si>
  <si>
    <t>38.18±2.78</t>
  </si>
  <si>
    <t>53.52±4.01</t>
  </si>
  <si>
    <t>96.28±0.71</t>
  </si>
  <si>
    <t>95.55±3.56</t>
  </si>
  <si>
    <t>74.33±2.30</t>
  </si>
  <si>
    <t>61.00±4.35</t>
  </si>
  <si>
    <t>8.67±2.08</t>
  </si>
  <si>
    <t>97.67±1.53</t>
  </si>
  <si>
    <t>81.33±11.54</t>
  </si>
  <si>
    <t>92.67±0.58</t>
  </si>
  <si>
    <t>27.33±3.51</t>
  </si>
  <si>
    <t>93.67±8.39</t>
  </si>
  <si>
    <t>87.00±0.00</t>
  </si>
  <si>
    <t>13.67±3.21</t>
  </si>
  <si>
    <t>100.00±0.00</t>
  </si>
  <si>
    <t>40.33±3.79</t>
  </si>
  <si>
    <t>15.00 ±1.00</t>
  </si>
  <si>
    <t>91.67±2.08</t>
  </si>
  <si>
    <t>47.33±2.08</t>
  </si>
  <si>
    <t>98.33±1.53</t>
  </si>
  <si>
    <t>99.00±0.00</t>
  </si>
  <si>
    <t>32.00±2.65</t>
  </si>
  <si>
    <t>38.67±2.52</t>
  </si>
  <si>
    <t>40.33±1.53</t>
  </si>
  <si>
    <t>95.33±2.08</t>
  </si>
  <si>
    <t>99.00±1.00</t>
  </si>
  <si>
    <t>24.67±5.13</t>
  </si>
  <si>
    <t>GFlowPO</t>
  </si>
  <si>
    <t>GFlowPO</t>
    <phoneticPr fontId="3" type="noConversion"/>
  </si>
  <si>
    <t>77.6±1.6</t>
  </si>
  <si>
    <t>StablePrompt-PPO (gemma-1.1-7b-it)</t>
  </si>
  <si>
    <t>92.4±1.1</t>
  </si>
  <si>
    <t>71.0±3.6</t>
  </si>
  <si>
    <t>79.4 (n=1)</t>
  </si>
  <si>
    <t>77.1 (n=1)</t>
  </si>
  <si>
    <t>62.6±0.1</t>
  </si>
  <si>
    <t>gender inclusive sentences german</t>
    <phoneticPr fontId="3" type="noConversion"/>
  </si>
  <si>
    <t>MC AVE</t>
    <phoneticPr fontId="3" type="noConversion"/>
  </si>
  <si>
    <t>Gen AVE</t>
    <phoneticPr fontId="3" type="noConversion"/>
  </si>
  <si>
    <t>RAE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</si>
</sst>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"/>
    <numFmt numFmtId="178" formatCode="0.0_ "/>
  </numFmts>
  <fonts count="9" x14ac:knownFonts="1">
    <font>
      <sz val="11"/>
      <color theme="1"/>
      <name val="等线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1F1F1F"/>
      <name val="等线"/>
      <family val="3"/>
      <charset val="134"/>
      <scheme val="minor"/>
    </font>
    <font>
      <b/>
      <sz val="11"/>
      <color rgb="FF1F1F1F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176" fontId="1" fillId="0" borderId="1" xfId="0" applyNumberFormat="1" applyFont="1" applyBorder="1" applyAlignment="1">
      <alignment vertical="center" wrapText="1" readingOrder="1"/>
    </xf>
    <xf numFmtId="0" fontId="1" fillId="6" borderId="1" xfId="0" applyFont="1" applyFill="1" applyBorder="1" applyAlignment="1">
      <alignment vertical="center" wrapText="1" readingOrder="1"/>
    </xf>
    <xf numFmtId="176" fontId="1" fillId="6" borderId="1" xfId="0" applyNumberFormat="1" applyFont="1" applyFill="1" applyBorder="1" applyAlignment="1">
      <alignment vertical="center" wrapText="1" readingOrder="1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176" fontId="1" fillId="7" borderId="1" xfId="0" applyNumberFormat="1" applyFont="1" applyFill="1" applyBorder="1" applyAlignment="1">
      <alignment vertical="center" wrapText="1" readingOrder="1"/>
    </xf>
    <xf numFmtId="0" fontId="0" fillId="0" borderId="0" xfId="0" applyAlignment="1">
      <alignment vertical="center" wrapText="1"/>
    </xf>
    <xf numFmtId="0" fontId="2" fillId="8" borderId="1" xfId="0" applyFont="1" applyFill="1" applyBorder="1" applyAlignment="1">
      <alignment vertical="center" wrapText="1" readingOrder="1"/>
    </xf>
    <xf numFmtId="0" fontId="2" fillId="9" borderId="1" xfId="0" applyFont="1" applyFill="1" applyBorder="1" applyAlignment="1">
      <alignment vertical="center" wrapText="1" readingOrder="1"/>
    </xf>
    <xf numFmtId="0" fontId="4" fillId="0" borderId="0" xfId="0" applyFont="1" applyAlignment="1">
      <alignment horizontal="center" vertical="center" wrapText="1"/>
    </xf>
    <xf numFmtId="176" fontId="2" fillId="7" borderId="1" xfId="0" applyNumberFormat="1" applyFont="1" applyFill="1" applyBorder="1" applyAlignment="1">
      <alignment vertical="center" wrapText="1" readingOrder="1"/>
    </xf>
    <xf numFmtId="176" fontId="2" fillId="6" borderId="1" xfId="0" applyNumberFormat="1" applyFont="1" applyFill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178" fontId="1" fillId="0" borderId="1" xfId="0" applyNumberFormat="1" applyFont="1" applyBorder="1" applyAlignment="1">
      <alignment horizontal="center" vertical="center" wrapText="1" readingOrder="1"/>
    </xf>
    <xf numFmtId="178" fontId="2" fillId="0" borderId="1" xfId="0" applyNumberFormat="1" applyFont="1" applyBorder="1" applyAlignment="1">
      <alignment horizontal="center" vertical="center" wrapText="1" readingOrder="1"/>
    </xf>
    <xf numFmtId="0" fontId="0" fillId="0" borderId="1" xfId="0" applyBorder="1">
      <alignment vertical="center"/>
    </xf>
    <xf numFmtId="0" fontId="2" fillId="10" borderId="1" xfId="0" applyFont="1" applyFill="1" applyBorder="1" applyAlignment="1">
      <alignment vertical="center" wrapText="1" readingOrder="1"/>
    </xf>
    <xf numFmtId="0" fontId="2" fillId="11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vertical="center" wrapText="1" readingOrder="1"/>
    </xf>
    <xf numFmtId="0" fontId="7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right" wrapText="1"/>
    </xf>
    <xf numFmtId="176" fontId="8" fillId="0" borderId="1" xfId="0" applyNumberFormat="1" applyFont="1" applyBorder="1" applyAlignment="1">
      <alignment wrapText="1"/>
    </xf>
    <xf numFmtId="176" fontId="8" fillId="0" borderId="1" xfId="0" applyNumberFormat="1" applyFont="1" applyBorder="1" applyAlignment="1">
      <alignment horizontal="right" wrapText="1"/>
    </xf>
    <xf numFmtId="176" fontId="8" fillId="12" borderId="1" xfId="0" applyNumberFormat="1" applyFont="1" applyFill="1" applyBorder="1" applyAlignment="1">
      <alignment wrapText="1"/>
    </xf>
    <xf numFmtId="176" fontId="8" fillId="12" borderId="1" xfId="0" applyNumberFormat="1" applyFont="1" applyFill="1" applyBorder="1" applyAlignment="1">
      <alignment horizontal="right" wrapText="1"/>
    </xf>
    <xf numFmtId="0" fontId="0" fillId="12" borderId="1" xfId="0" applyFill="1" applyBorder="1">
      <alignment vertical="center"/>
    </xf>
    <xf numFmtId="176" fontId="0" fillId="12" borderId="1" xfId="0" applyNumberFormat="1" applyFill="1" applyBorder="1">
      <alignment vertical="center"/>
    </xf>
    <xf numFmtId="176" fontId="8" fillId="13" borderId="1" xfId="0" applyNumberFormat="1" applyFont="1" applyFill="1" applyBorder="1" applyAlignment="1">
      <alignment wrapText="1"/>
    </xf>
    <xf numFmtId="176" fontId="8" fillId="13" borderId="1" xfId="0" applyNumberFormat="1" applyFont="1" applyFill="1" applyBorder="1" applyAlignment="1">
      <alignment horizontal="right" wrapText="1"/>
    </xf>
    <xf numFmtId="0" fontId="8" fillId="13" borderId="1" xfId="0" applyFont="1" applyFill="1" applyBorder="1" applyAlignment="1">
      <alignment wrapText="1"/>
    </xf>
    <xf numFmtId="0" fontId="8" fillId="13" borderId="1" xfId="0" applyFont="1" applyFill="1" applyBorder="1" applyAlignment="1">
      <alignment horizontal="right" wrapText="1"/>
    </xf>
    <xf numFmtId="0" fontId="0" fillId="13" borderId="1" xfId="0" applyFill="1" applyBorder="1">
      <alignment vertical="center"/>
    </xf>
    <xf numFmtId="0" fontId="4" fillId="0" borderId="0" xfId="0" applyFont="1" applyAlignment="1">
      <alignment vertical="center" wrapText="1"/>
    </xf>
    <xf numFmtId="176" fontId="8" fillId="3" borderId="1" xfId="0" applyNumberFormat="1" applyFont="1" applyFill="1" applyBorder="1" applyAlignment="1">
      <alignment horizontal="right" wrapText="1"/>
    </xf>
    <xf numFmtId="0" fontId="8" fillId="12" borderId="1" xfId="0" applyFont="1" applyFill="1" applyBorder="1" applyAlignment="1">
      <alignment horizontal="right" wrapText="1"/>
    </xf>
    <xf numFmtId="178" fontId="1" fillId="13" borderId="1" xfId="0" applyNumberFormat="1" applyFont="1" applyFill="1" applyBorder="1" applyAlignment="1">
      <alignment horizontal="center" vertical="center" wrapText="1" readingOrder="1"/>
    </xf>
    <xf numFmtId="0" fontId="4" fillId="1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wrapText="1"/>
    </xf>
    <xf numFmtId="0" fontId="8" fillId="5" borderId="1" xfId="0" applyFont="1" applyFill="1" applyBorder="1" applyAlignment="1">
      <alignment horizontal="right" wrapText="1"/>
    </xf>
    <xf numFmtId="0" fontId="0" fillId="5" borderId="1" xfId="0" applyFill="1" applyBorder="1">
      <alignment vertical="center"/>
    </xf>
    <xf numFmtId="0" fontId="0" fillId="0" borderId="4" xfId="0" applyBorder="1">
      <alignment vertical="center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176" fontId="8" fillId="12" borderId="2" xfId="0" applyNumberFormat="1" applyFont="1" applyFill="1" applyBorder="1" applyAlignment="1">
      <alignment horizontal="center" wrapText="1"/>
    </xf>
    <xf numFmtId="176" fontId="8" fillId="12" borderId="3" xfId="0" applyNumberFormat="1" applyFont="1" applyFill="1" applyBorder="1" applyAlignment="1">
      <alignment horizontal="center" wrapText="1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676275</xdr:colOff>
      <xdr:row>15</xdr:row>
      <xdr:rowOff>271463</xdr:rowOff>
    </xdr:from>
    <xdr:ext cx="184731" cy="264560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EC23DD63-0DBB-57DE-1555-75440CF82F69}"/>
            </a:ext>
          </a:extLst>
        </xdr:cNvPr>
        <xdr:cNvSpPr txBox="1"/>
      </xdr:nvSpPr>
      <xdr:spPr>
        <a:xfrm>
          <a:off x="8486775" y="62912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37BA-808D-4A9B-BCBA-FD60F15E92FC}">
  <dimension ref="A1:P146"/>
  <sheetViews>
    <sheetView zoomScale="116" zoomScaleNormal="100" workbookViewId="0">
      <pane ySplit="1" topLeftCell="A103" activePane="bottomLeft" state="frozen"/>
      <selection pane="bottomLeft" activeCell="J139" sqref="J139"/>
    </sheetView>
  </sheetViews>
  <sheetFormatPr defaultRowHeight="13.9" x14ac:dyDescent="0.4"/>
  <cols>
    <col min="1" max="1" width="11.796875" customWidth="1"/>
    <col min="2" max="2" width="13.265625" customWidth="1"/>
    <col min="3" max="3" width="14.265625" customWidth="1"/>
    <col min="10" max="10" width="9.59765625" bestFit="1" customWidth="1"/>
    <col min="11" max="12" width="9.59765625" customWidth="1"/>
  </cols>
  <sheetData>
    <row r="1" spans="1:16" ht="55.5" x14ac:dyDescent="0.4">
      <c r="A1" s="1" t="s">
        <v>0</v>
      </c>
      <c r="B1" s="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70</v>
      </c>
      <c r="J1" s="11" t="s">
        <v>73</v>
      </c>
      <c r="K1" s="20" t="s">
        <v>186</v>
      </c>
      <c r="L1" s="20" t="s">
        <v>188</v>
      </c>
      <c r="M1" s="20" t="s">
        <v>133</v>
      </c>
      <c r="N1" s="21" t="s">
        <v>134</v>
      </c>
      <c r="O1" s="22" t="s">
        <v>132</v>
      </c>
      <c r="P1" s="44" t="s">
        <v>268</v>
      </c>
    </row>
    <row r="2" spans="1:16" ht="27" x14ac:dyDescent="0.4">
      <c r="A2" s="52" t="s">
        <v>8</v>
      </c>
      <c r="B2" s="2" t="s">
        <v>9</v>
      </c>
      <c r="C2" s="3">
        <v>30</v>
      </c>
      <c r="D2" s="3">
        <v>33</v>
      </c>
      <c r="E2" s="3">
        <v>31</v>
      </c>
      <c r="F2" s="3">
        <v>35</v>
      </c>
      <c r="G2" s="3">
        <v>32</v>
      </c>
      <c r="H2" s="3">
        <v>33.94</v>
      </c>
      <c r="I2" s="3">
        <v>35</v>
      </c>
      <c r="J2" s="3">
        <v>33</v>
      </c>
      <c r="K2" s="3">
        <v>34.000000400000005</v>
      </c>
      <c r="L2" s="3">
        <v>33.000001300000001</v>
      </c>
      <c r="M2" s="3">
        <v>31</v>
      </c>
      <c r="N2" s="3">
        <v>32</v>
      </c>
      <c r="O2" s="3">
        <v>36.000001399999995</v>
      </c>
      <c r="P2" s="3">
        <v>31</v>
      </c>
    </row>
    <row r="3" spans="1:16" x14ac:dyDescent="0.4">
      <c r="A3" s="52"/>
      <c r="B3" s="2" t="s">
        <v>10</v>
      </c>
      <c r="C3" s="3">
        <v>50.37</v>
      </c>
      <c r="D3" s="3">
        <v>51.85</v>
      </c>
      <c r="E3" s="3">
        <v>49.63</v>
      </c>
      <c r="F3" s="3">
        <v>52.95</v>
      </c>
      <c r="G3" s="3">
        <v>54.81</v>
      </c>
      <c r="H3" s="3">
        <v>56.46</v>
      </c>
      <c r="I3" s="3">
        <v>54.07</v>
      </c>
      <c r="J3" s="3">
        <v>54.81</v>
      </c>
      <c r="K3" s="3">
        <v>51.111114000000001</v>
      </c>
      <c r="L3" s="3">
        <v>55.5555582</v>
      </c>
      <c r="M3" s="3">
        <v>54.81</v>
      </c>
      <c r="N3" s="3">
        <v>51.11</v>
      </c>
      <c r="O3" s="3">
        <v>54.814815500000002</v>
      </c>
      <c r="P3" s="3">
        <v>52.59</v>
      </c>
    </row>
    <row r="4" spans="1:16" x14ac:dyDescent="0.4">
      <c r="A4" s="52"/>
      <c r="B4" s="2" t="s">
        <v>11</v>
      </c>
      <c r="C4" s="3">
        <v>57.89</v>
      </c>
      <c r="D4" s="3">
        <v>64.47</v>
      </c>
      <c r="E4" s="3">
        <v>53.95</v>
      </c>
      <c r="F4" s="3">
        <v>56.58</v>
      </c>
      <c r="G4" s="3">
        <v>64.47</v>
      </c>
      <c r="H4" s="3">
        <v>60</v>
      </c>
      <c r="I4" s="3">
        <v>61.18</v>
      </c>
      <c r="J4" s="3">
        <v>60.53</v>
      </c>
      <c r="K4" s="3">
        <v>50.657892199999999</v>
      </c>
      <c r="L4" s="3">
        <v>50</v>
      </c>
      <c r="M4" s="3">
        <v>50</v>
      </c>
      <c r="N4" s="3">
        <v>58.550000000000004</v>
      </c>
      <c r="O4" s="3">
        <v>50</v>
      </c>
      <c r="P4" s="3">
        <v>57.89</v>
      </c>
    </row>
    <row r="5" spans="1:16" ht="27" x14ac:dyDescent="0.4">
      <c r="A5" s="52"/>
      <c r="B5" s="2" t="s">
        <v>12</v>
      </c>
      <c r="C5" s="3">
        <v>66.67</v>
      </c>
      <c r="D5" s="3">
        <v>67.36</v>
      </c>
      <c r="E5" s="3">
        <v>56.98</v>
      </c>
      <c r="F5" s="3">
        <v>65.8</v>
      </c>
      <c r="G5" s="3">
        <v>64.58</v>
      </c>
      <c r="H5" s="3">
        <v>68.75</v>
      </c>
      <c r="I5" s="3">
        <v>65.97</v>
      </c>
      <c r="J5" s="3">
        <v>64.58</v>
      </c>
      <c r="K5" s="3">
        <v>56.9444418</v>
      </c>
      <c r="L5" s="3">
        <v>67.361110400000001</v>
      </c>
      <c r="M5" s="3">
        <v>63.89</v>
      </c>
      <c r="N5" s="3">
        <v>63.89</v>
      </c>
      <c r="O5" s="3">
        <v>63.888889599999999</v>
      </c>
      <c r="P5" s="3">
        <v>56.94</v>
      </c>
    </row>
    <row r="6" spans="1:16" ht="27" x14ac:dyDescent="0.4">
      <c r="A6" s="52"/>
      <c r="B6" s="2" t="s">
        <v>13</v>
      </c>
      <c r="C6" s="3">
        <v>38</v>
      </c>
      <c r="D6" s="3">
        <v>34</v>
      </c>
      <c r="E6" s="3">
        <v>39</v>
      </c>
      <c r="F6" s="3">
        <v>40</v>
      </c>
      <c r="G6" s="3">
        <v>43</v>
      </c>
      <c r="H6" s="3">
        <v>39.29</v>
      </c>
      <c r="I6" s="3">
        <v>42</v>
      </c>
      <c r="J6" s="3">
        <v>36</v>
      </c>
      <c r="K6" s="3">
        <v>49.000000999999997</v>
      </c>
      <c r="L6" s="3">
        <v>46.999999899999999</v>
      </c>
      <c r="M6" s="3">
        <v>49</v>
      </c>
      <c r="N6" s="3">
        <v>51</v>
      </c>
      <c r="O6" s="3">
        <v>50.999998999999995</v>
      </c>
      <c r="P6" s="3">
        <v>36</v>
      </c>
    </row>
    <row r="7" spans="1:16" ht="40.5" x14ac:dyDescent="0.4">
      <c r="A7" s="52"/>
      <c r="B7" s="2" t="s">
        <v>14</v>
      </c>
      <c r="C7" s="3">
        <v>41</v>
      </c>
      <c r="D7" s="3">
        <v>48</v>
      </c>
      <c r="E7" s="3">
        <v>32.799999999999997</v>
      </c>
      <c r="F7" s="3">
        <v>37</v>
      </c>
      <c r="G7" s="3">
        <v>40</v>
      </c>
      <c r="H7" s="3">
        <v>43.75</v>
      </c>
      <c r="I7" s="3">
        <v>39</v>
      </c>
      <c r="J7" s="3">
        <v>41</v>
      </c>
      <c r="K7" s="3">
        <v>36.000001399999995</v>
      </c>
      <c r="L7" s="3">
        <v>43.000000700000001</v>
      </c>
      <c r="M7" s="3">
        <v>38</v>
      </c>
      <c r="N7" s="3">
        <v>40</v>
      </c>
      <c r="O7" s="3">
        <v>41.999998699999999</v>
      </c>
      <c r="P7" s="3">
        <v>39</v>
      </c>
    </row>
    <row r="8" spans="1:16" ht="27" x14ac:dyDescent="0.4">
      <c r="A8" s="52"/>
      <c r="B8" s="2" t="s">
        <v>15</v>
      </c>
      <c r="C8" s="3">
        <v>32</v>
      </c>
      <c r="D8" s="3">
        <v>34</v>
      </c>
      <c r="E8" s="3">
        <v>33</v>
      </c>
      <c r="F8" s="3">
        <v>33</v>
      </c>
      <c r="G8" s="3">
        <v>34</v>
      </c>
      <c r="H8" s="3">
        <v>40.19</v>
      </c>
      <c r="I8" s="3">
        <v>37</v>
      </c>
      <c r="J8" s="3">
        <v>32</v>
      </c>
      <c r="K8" s="3">
        <v>33.000001300000001</v>
      </c>
      <c r="L8" s="3">
        <v>37.000000499999999</v>
      </c>
      <c r="M8" s="3">
        <v>33</v>
      </c>
      <c r="N8" s="3">
        <v>32</v>
      </c>
      <c r="O8" s="3">
        <v>33.000001300000001</v>
      </c>
      <c r="P8" s="3">
        <v>37</v>
      </c>
    </row>
    <row r="9" spans="1:16" ht="27" x14ac:dyDescent="0.4">
      <c r="A9" s="52"/>
      <c r="B9" s="2" t="s">
        <v>16</v>
      </c>
      <c r="C9" s="3">
        <v>39.22</v>
      </c>
      <c r="D9" s="3">
        <v>34.31</v>
      </c>
      <c r="E9" s="3">
        <v>32.33</v>
      </c>
      <c r="F9" s="3">
        <v>35.29</v>
      </c>
      <c r="G9" s="3">
        <v>36.270000000000003</v>
      </c>
      <c r="H9" s="3">
        <v>35.71</v>
      </c>
      <c r="I9" s="3">
        <v>34.31</v>
      </c>
      <c r="J9" s="3">
        <v>34.31</v>
      </c>
      <c r="K9" s="3">
        <v>29.411765899999999</v>
      </c>
      <c r="L9" s="3">
        <v>35.294118499999996</v>
      </c>
      <c r="M9" s="3">
        <v>34.31</v>
      </c>
      <c r="N9" s="3">
        <v>30.39</v>
      </c>
      <c r="O9" s="3">
        <v>34.3137264</v>
      </c>
      <c r="P9" s="3">
        <v>40.200000000000003</v>
      </c>
    </row>
    <row r="10" spans="1:16" ht="27" x14ac:dyDescent="0.4">
      <c r="A10" s="52"/>
      <c r="B10" s="2" t="s">
        <v>17</v>
      </c>
      <c r="C10" s="3">
        <v>70</v>
      </c>
      <c r="D10" s="3">
        <v>67</v>
      </c>
      <c r="E10" s="3">
        <v>62.2</v>
      </c>
      <c r="F10" s="3">
        <v>67</v>
      </c>
      <c r="G10" s="3">
        <v>67</v>
      </c>
      <c r="H10" s="3">
        <v>66.069999999999993</v>
      </c>
      <c r="I10" s="3">
        <v>63</v>
      </c>
      <c r="J10" s="3">
        <v>69</v>
      </c>
      <c r="K10" s="3">
        <v>67.000001699999999</v>
      </c>
      <c r="L10" s="3">
        <v>67.000001699999999</v>
      </c>
      <c r="M10" s="3">
        <v>69</v>
      </c>
      <c r="N10" s="3">
        <v>72</v>
      </c>
      <c r="O10" s="3">
        <v>68.999999799999998</v>
      </c>
      <c r="P10" s="3">
        <v>61</v>
      </c>
    </row>
    <row r="11" spans="1:16" ht="27" x14ac:dyDescent="0.4">
      <c r="A11" s="52"/>
      <c r="B11" s="2" t="s">
        <v>18</v>
      </c>
      <c r="C11" s="3">
        <v>51.06</v>
      </c>
      <c r="D11" s="3">
        <v>55.31</v>
      </c>
      <c r="E11" s="3">
        <v>51.06</v>
      </c>
      <c r="F11" s="3">
        <v>49.79</v>
      </c>
      <c r="G11" s="3">
        <v>49.36</v>
      </c>
      <c r="H11" s="3">
        <v>49.58</v>
      </c>
      <c r="I11" s="3">
        <v>48.51</v>
      </c>
      <c r="J11" s="3">
        <v>51.49</v>
      </c>
      <c r="K11" s="3">
        <v>50.212764700000001</v>
      </c>
      <c r="L11" s="3">
        <v>47.234043499999999</v>
      </c>
      <c r="M11" s="3">
        <v>49.79</v>
      </c>
      <c r="N11" s="3">
        <v>44.26</v>
      </c>
      <c r="O11" s="3">
        <v>49.787235299999999</v>
      </c>
      <c r="P11" s="3">
        <v>48.09</v>
      </c>
    </row>
    <row r="12" spans="1:16" ht="27" x14ac:dyDescent="0.4">
      <c r="A12" s="52"/>
      <c r="B12" s="2" t="s">
        <v>19</v>
      </c>
      <c r="C12" s="3">
        <v>51.72</v>
      </c>
      <c r="D12" s="3">
        <v>55.17</v>
      </c>
      <c r="E12" s="3">
        <v>46.21</v>
      </c>
      <c r="F12" s="3">
        <v>40</v>
      </c>
      <c r="G12" s="3">
        <v>53.1</v>
      </c>
      <c r="H12" s="3">
        <v>56.34</v>
      </c>
      <c r="I12" s="3">
        <v>48.97</v>
      </c>
      <c r="J12" s="3">
        <v>51.72</v>
      </c>
      <c r="K12" s="3">
        <v>53.793102500000003</v>
      </c>
      <c r="L12" s="3">
        <v>35.862070299999999</v>
      </c>
      <c r="M12" s="3">
        <v>51.03</v>
      </c>
      <c r="N12" s="3">
        <v>51.72</v>
      </c>
      <c r="O12" s="3">
        <v>52.413791400000001</v>
      </c>
      <c r="P12" s="3">
        <v>53.79</v>
      </c>
    </row>
    <row r="13" spans="1:16" ht="27" x14ac:dyDescent="0.4">
      <c r="A13" s="52"/>
      <c r="B13" s="2" t="s">
        <v>20</v>
      </c>
      <c r="C13" s="3">
        <v>38.89</v>
      </c>
      <c r="D13" s="3">
        <v>60.05</v>
      </c>
      <c r="E13" s="3">
        <v>38.1</v>
      </c>
      <c r="F13" s="3">
        <v>37.299999999999997</v>
      </c>
      <c r="G13" s="3">
        <v>39.15</v>
      </c>
      <c r="H13" s="3">
        <v>44.01</v>
      </c>
      <c r="I13" s="3">
        <v>39.950000000000003</v>
      </c>
      <c r="J13" s="3">
        <v>40.479999999999997</v>
      </c>
      <c r="K13" s="3">
        <v>38.624337300000001</v>
      </c>
      <c r="L13" s="3">
        <v>35.978835799999999</v>
      </c>
      <c r="M13" s="3">
        <v>38.619999999999997</v>
      </c>
      <c r="N13" s="3">
        <v>36.51</v>
      </c>
      <c r="O13" s="3">
        <v>37.301588099999996</v>
      </c>
      <c r="P13" s="3">
        <v>38.36</v>
      </c>
    </row>
    <row r="14" spans="1:16" ht="27" x14ac:dyDescent="0.4">
      <c r="A14" s="52"/>
      <c r="B14" s="2" t="s">
        <v>21</v>
      </c>
      <c r="C14" s="3">
        <v>70.650000000000006</v>
      </c>
      <c r="D14" s="3">
        <v>64.52</v>
      </c>
      <c r="E14" s="3">
        <v>65.81</v>
      </c>
      <c r="F14" s="3">
        <v>69.81</v>
      </c>
      <c r="G14" s="3">
        <v>71.94</v>
      </c>
      <c r="H14" s="3">
        <v>70.94</v>
      </c>
      <c r="I14" s="3">
        <v>72.58</v>
      </c>
      <c r="J14" s="3">
        <v>71.61</v>
      </c>
      <c r="K14" s="3">
        <v>72.580647499999998</v>
      </c>
      <c r="L14" s="3">
        <v>61.612904100000002</v>
      </c>
      <c r="M14" s="3">
        <v>70.650000000000006</v>
      </c>
      <c r="N14" s="3">
        <v>70.320000000000007</v>
      </c>
      <c r="O14" s="3">
        <v>70.645159500000005</v>
      </c>
      <c r="P14" s="3">
        <v>70.319999999999993</v>
      </c>
    </row>
    <row r="15" spans="1:16" ht="27" x14ac:dyDescent="0.4">
      <c r="A15" s="52"/>
      <c r="B15" s="2" t="s">
        <v>22</v>
      </c>
      <c r="C15" s="3">
        <v>52.71</v>
      </c>
      <c r="D15" s="3">
        <v>52.71</v>
      </c>
      <c r="E15" s="3">
        <v>52.22</v>
      </c>
      <c r="F15" s="3">
        <v>45.82</v>
      </c>
      <c r="G15" s="3">
        <v>49.26</v>
      </c>
      <c r="H15" s="3">
        <v>51.44</v>
      </c>
      <c r="I15" s="3">
        <v>48.77</v>
      </c>
      <c r="J15" s="3">
        <v>44.83</v>
      </c>
      <c r="K15" s="3">
        <v>52.216750400000002</v>
      </c>
      <c r="L15" s="3">
        <v>44.827586400000001</v>
      </c>
      <c r="M15" s="3">
        <v>50.739999999999995</v>
      </c>
      <c r="N15" s="3">
        <v>38.42</v>
      </c>
      <c r="O15" s="3">
        <v>50.7389188</v>
      </c>
      <c r="P15" s="3">
        <v>47.78</v>
      </c>
    </row>
    <row r="16" spans="1:16" ht="40.5" x14ac:dyDescent="0.4">
      <c r="A16" s="52"/>
      <c r="B16" s="2" t="s">
        <v>23</v>
      </c>
      <c r="C16" s="3">
        <v>61</v>
      </c>
      <c r="D16" s="3">
        <v>58</v>
      </c>
      <c r="E16" s="3">
        <v>54</v>
      </c>
      <c r="F16" s="3">
        <v>51</v>
      </c>
      <c r="G16" s="3">
        <v>55</v>
      </c>
      <c r="H16" s="3">
        <v>55</v>
      </c>
      <c r="I16" s="3">
        <v>57</v>
      </c>
      <c r="J16" s="3">
        <v>57</v>
      </c>
      <c r="K16" s="3">
        <v>50.999998999999995</v>
      </c>
      <c r="L16" s="3">
        <v>57.999998300000001</v>
      </c>
      <c r="M16" s="3">
        <v>60</v>
      </c>
      <c r="N16" s="3">
        <v>64</v>
      </c>
      <c r="O16" s="3">
        <v>60.0000024</v>
      </c>
      <c r="P16" s="3">
        <v>61</v>
      </c>
    </row>
    <row r="17" spans="1:16" ht="27" x14ac:dyDescent="0.4">
      <c r="A17" s="52"/>
      <c r="B17" s="2" t="s">
        <v>24</v>
      </c>
      <c r="C17" s="3">
        <v>36.299999999999997</v>
      </c>
      <c r="D17" s="3">
        <v>33.700000000000003</v>
      </c>
      <c r="E17" s="3">
        <v>38.520000000000003</v>
      </c>
      <c r="F17" s="3">
        <v>32.96</v>
      </c>
      <c r="G17" s="3">
        <v>34.81</v>
      </c>
      <c r="H17" s="3">
        <v>37.130000000000003</v>
      </c>
      <c r="I17" s="3">
        <v>30.74</v>
      </c>
      <c r="J17" s="3">
        <v>30.74</v>
      </c>
      <c r="K17" s="3">
        <v>34.814813700000002</v>
      </c>
      <c r="L17" s="3">
        <v>32.592591599999999</v>
      </c>
      <c r="M17" s="3">
        <v>32.590000000000003</v>
      </c>
      <c r="N17" s="3">
        <v>35.56</v>
      </c>
      <c r="O17" s="3">
        <v>32.592591599999999</v>
      </c>
      <c r="P17" s="3">
        <v>37.04</v>
      </c>
    </row>
    <row r="18" spans="1:16" ht="27" x14ac:dyDescent="0.4">
      <c r="A18" s="52"/>
      <c r="B18" s="2" t="s">
        <v>25</v>
      </c>
      <c r="C18" s="3">
        <v>26.49</v>
      </c>
      <c r="D18" s="3">
        <v>31.13</v>
      </c>
      <c r="E18" s="3">
        <v>32.450000000000003</v>
      </c>
      <c r="F18" s="3">
        <v>33.770000000000003</v>
      </c>
      <c r="G18" s="3">
        <v>32.450000000000003</v>
      </c>
      <c r="H18" s="3">
        <v>43.5</v>
      </c>
      <c r="I18" s="3">
        <v>33.11</v>
      </c>
      <c r="J18" s="3">
        <v>31.13</v>
      </c>
      <c r="K18" s="3">
        <v>35.0993365</v>
      </c>
      <c r="L18" s="3">
        <v>27.152317799999999</v>
      </c>
      <c r="M18" s="3">
        <v>35.76</v>
      </c>
      <c r="N18" s="3">
        <v>37.090000000000003</v>
      </c>
      <c r="O18" s="3">
        <v>35.761588799999998</v>
      </c>
      <c r="P18" s="3">
        <v>31.13</v>
      </c>
    </row>
    <row r="19" spans="1:16" ht="27" x14ac:dyDescent="0.4">
      <c r="A19" s="52"/>
      <c r="B19" s="2" t="s">
        <v>26</v>
      </c>
      <c r="C19" s="3">
        <v>45.37</v>
      </c>
      <c r="D19" s="3">
        <v>43.52</v>
      </c>
      <c r="E19" s="3">
        <v>46.76</v>
      </c>
      <c r="F19" s="3">
        <v>50.46</v>
      </c>
      <c r="G19" s="3">
        <v>45.83</v>
      </c>
      <c r="H19" s="3">
        <v>45.83</v>
      </c>
      <c r="I19" s="3">
        <v>37.96</v>
      </c>
      <c r="J19" s="3">
        <v>37.5</v>
      </c>
      <c r="K19" s="3">
        <v>49.537035799999998</v>
      </c>
      <c r="L19" s="3">
        <v>47.685185099999998</v>
      </c>
      <c r="M19" s="3">
        <v>52.78</v>
      </c>
      <c r="N19" s="3">
        <v>49.07</v>
      </c>
      <c r="O19" s="3">
        <v>52.777779099999997</v>
      </c>
      <c r="P19" s="3">
        <v>45.37</v>
      </c>
    </row>
    <row r="20" spans="1:16" ht="27" x14ac:dyDescent="0.4">
      <c r="A20" s="52"/>
      <c r="B20" s="2" t="s">
        <v>27</v>
      </c>
      <c r="C20" s="3">
        <v>35.71</v>
      </c>
      <c r="D20" s="3">
        <v>46.43</v>
      </c>
      <c r="E20" s="3">
        <v>39.29</v>
      </c>
      <c r="F20" s="3">
        <v>35.71</v>
      </c>
      <c r="G20" s="3">
        <v>41.07</v>
      </c>
      <c r="H20" s="3">
        <v>44.67</v>
      </c>
      <c r="I20" s="3">
        <v>35.71</v>
      </c>
      <c r="J20" s="3">
        <v>38.39</v>
      </c>
      <c r="K20" s="3">
        <v>43.75</v>
      </c>
      <c r="L20" s="3">
        <v>39.285713399999999</v>
      </c>
      <c r="M20" s="3">
        <v>35.709999999999994</v>
      </c>
      <c r="N20" s="3">
        <v>41.959999999999994</v>
      </c>
      <c r="O20" s="3">
        <v>35.714286600000001</v>
      </c>
      <c r="P20" s="3">
        <v>40.18</v>
      </c>
    </row>
    <row r="21" spans="1:16" x14ac:dyDescent="0.4">
      <c r="A21" s="4" t="s">
        <v>28</v>
      </c>
      <c r="B21" s="4" t="s">
        <v>71</v>
      </c>
      <c r="C21" s="5">
        <f>AVERAGE(C2:C20)</f>
        <v>47.107894736842105</v>
      </c>
      <c r="D21" s="5">
        <f t="shared" ref="D21:I21" si="0">AVERAGE(D2:D20)</f>
        <v>49.18578947368421</v>
      </c>
      <c r="E21" s="5">
        <f t="shared" si="0"/>
        <v>45.01631578947368</v>
      </c>
      <c r="F21" s="5">
        <f t="shared" si="0"/>
        <v>45.749473684210535</v>
      </c>
      <c r="G21" s="5">
        <f t="shared" si="0"/>
        <v>47.794736842105273</v>
      </c>
      <c r="H21" s="14">
        <f t="shared" si="0"/>
        <v>49.610526315789478</v>
      </c>
      <c r="I21" s="5">
        <f t="shared" si="0"/>
        <v>46.570000000000007</v>
      </c>
      <c r="J21" s="5">
        <f t="shared" ref="J21:P21" si="1">AVERAGE(J2:J20)</f>
        <v>46.322105263157901</v>
      </c>
      <c r="K21" s="5">
        <f t="shared" si="1"/>
        <v>46.776526689473684</v>
      </c>
      <c r="L21" s="5">
        <f t="shared" si="1"/>
        <v>45.54958092105263</v>
      </c>
      <c r="M21" s="5">
        <f t="shared" si="1"/>
        <v>47.404210526315794</v>
      </c>
      <c r="N21" s="5">
        <f t="shared" si="1"/>
        <v>47.360526315789478</v>
      </c>
      <c r="O21" s="5">
        <f t="shared" si="1"/>
        <v>47.986861752631576</v>
      </c>
      <c r="P21" s="5">
        <f t="shared" si="1"/>
        <v>46.562105263157889</v>
      </c>
    </row>
    <row r="22" spans="1:16" ht="27.75" customHeight="1" x14ac:dyDescent="0.4">
      <c r="A22" s="49" t="s">
        <v>29</v>
      </c>
      <c r="B22" s="2" t="s">
        <v>30</v>
      </c>
      <c r="C22" s="3">
        <v>32.46</v>
      </c>
      <c r="D22" s="3">
        <v>34.21</v>
      </c>
      <c r="E22" s="3">
        <v>32.46</v>
      </c>
      <c r="F22" s="3">
        <v>31.58</v>
      </c>
      <c r="G22" s="3">
        <v>32.46</v>
      </c>
      <c r="H22" s="3">
        <v>40.630000000000003</v>
      </c>
      <c r="I22" s="3">
        <v>27.19</v>
      </c>
      <c r="J22" s="3">
        <v>31.58</v>
      </c>
      <c r="K22" s="3">
        <v>30.701753500000002</v>
      </c>
      <c r="L22" s="3">
        <v>41.228070900000006</v>
      </c>
      <c r="M22" s="3">
        <v>32.46</v>
      </c>
      <c r="N22" s="3">
        <v>30.7</v>
      </c>
      <c r="O22" s="3">
        <v>34.210526899999998</v>
      </c>
      <c r="P22" s="3">
        <v>35.97</v>
      </c>
    </row>
    <row r="23" spans="1:16" ht="27" x14ac:dyDescent="0.4">
      <c r="A23" s="49"/>
      <c r="B23" s="2" t="s">
        <v>31</v>
      </c>
      <c r="C23" s="3">
        <v>66.67</v>
      </c>
      <c r="D23" s="3">
        <v>61.11</v>
      </c>
      <c r="E23" s="3">
        <v>56.57</v>
      </c>
      <c r="F23" s="3">
        <v>59.69</v>
      </c>
      <c r="G23" s="3">
        <v>73.739999999999995</v>
      </c>
      <c r="H23" s="3">
        <v>76.459999999999994</v>
      </c>
      <c r="I23" s="3">
        <v>66.16</v>
      </c>
      <c r="J23" s="3">
        <v>64.650000000000006</v>
      </c>
      <c r="K23" s="3">
        <v>67.17171669999999</v>
      </c>
      <c r="L23" s="3">
        <v>48.4848499</v>
      </c>
      <c r="M23" s="3">
        <v>70.199999999999989</v>
      </c>
      <c r="N23" s="3">
        <v>67.17</v>
      </c>
      <c r="O23" s="3">
        <v>70.707070800000011</v>
      </c>
      <c r="P23" s="3">
        <v>69.19</v>
      </c>
    </row>
    <row r="24" spans="1:16" ht="27" x14ac:dyDescent="0.4">
      <c r="A24" s="49"/>
      <c r="B24" s="2" t="s">
        <v>32</v>
      </c>
      <c r="C24" s="3">
        <v>74.09</v>
      </c>
      <c r="D24" s="3">
        <v>76.17</v>
      </c>
      <c r="E24" s="3">
        <v>67.88</v>
      </c>
      <c r="F24" s="3">
        <v>70.89</v>
      </c>
      <c r="G24" s="3">
        <v>77.72</v>
      </c>
      <c r="H24" s="3">
        <v>73.64</v>
      </c>
      <c r="I24" s="3">
        <v>77.2</v>
      </c>
      <c r="J24" s="3">
        <v>76.680000000000007</v>
      </c>
      <c r="K24" s="3">
        <v>63.212436400000001</v>
      </c>
      <c r="L24" s="3">
        <v>66.321241900000004</v>
      </c>
      <c r="M24" s="3">
        <v>74.61</v>
      </c>
      <c r="N24" s="3">
        <v>66.84</v>
      </c>
      <c r="O24" s="3">
        <v>74.611401600000008</v>
      </c>
      <c r="P24" s="3">
        <v>78.239999999999995</v>
      </c>
    </row>
    <row r="25" spans="1:16" ht="40.5" x14ac:dyDescent="0.4">
      <c r="A25" s="49"/>
      <c r="B25" s="2" t="s">
        <v>33</v>
      </c>
      <c r="C25" s="3">
        <v>54.1</v>
      </c>
      <c r="D25" s="3">
        <v>55.13</v>
      </c>
      <c r="E25" s="3">
        <v>50</v>
      </c>
      <c r="F25" s="3">
        <v>56.15</v>
      </c>
      <c r="G25" s="3">
        <v>58.97</v>
      </c>
      <c r="H25" s="3">
        <v>57.75</v>
      </c>
      <c r="I25" s="3">
        <v>54.36</v>
      </c>
      <c r="J25" s="3">
        <v>55.9</v>
      </c>
      <c r="K25" s="3">
        <v>58.717948200000002</v>
      </c>
      <c r="L25" s="3">
        <v>53.589743400000003</v>
      </c>
      <c r="M25" s="3">
        <v>55.379999999999995</v>
      </c>
      <c r="N25" s="3">
        <v>54.1</v>
      </c>
      <c r="O25" s="3">
        <v>55.384617999999996</v>
      </c>
      <c r="P25" s="3">
        <v>52.82</v>
      </c>
    </row>
    <row r="26" spans="1:16" ht="40.5" x14ac:dyDescent="0.4">
      <c r="A26" s="49"/>
      <c r="B26" s="2" t="s">
        <v>34</v>
      </c>
      <c r="C26" s="3">
        <v>55.46</v>
      </c>
      <c r="D26" s="3">
        <v>55.46</v>
      </c>
      <c r="E26" s="3">
        <v>53.36</v>
      </c>
      <c r="F26" s="3">
        <v>56.15</v>
      </c>
      <c r="G26" s="3">
        <v>63.03</v>
      </c>
      <c r="H26" s="3">
        <v>64.58</v>
      </c>
      <c r="I26" s="3">
        <v>60.5</v>
      </c>
      <c r="J26" s="3">
        <v>57.14</v>
      </c>
      <c r="K26" s="3">
        <v>68.067228799999995</v>
      </c>
      <c r="L26" s="3">
        <v>63.445377300000004</v>
      </c>
      <c r="M26" s="3">
        <v>50.42</v>
      </c>
      <c r="N26" s="3">
        <v>61.339999999999996</v>
      </c>
      <c r="O26" s="3">
        <v>50.420171000000003</v>
      </c>
      <c r="P26" s="3">
        <v>59.25</v>
      </c>
    </row>
    <row r="27" spans="1:16" ht="27" x14ac:dyDescent="0.4">
      <c r="A27" s="49"/>
      <c r="B27" s="2" t="s">
        <v>35</v>
      </c>
      <c r="C27" s="3">
        <v>76.33</v>
      </c>
      <c r="D27" s="3">
        <v>73.58</v>
      </c>
      <c r="E27" s="3">
        <v>71.19</v>
      </c>
      <c r="F27" s="3">
        <v>72.66</v>
      </c>
      <c r="G27" s="3">
        <v>75.78</v>
      </c>
      <c r="H27" s="3">
        <v>81.64</v>
      </c>
      <c r="I27" s="3">
        <v>73.94</v>
      </c>
      <c r="J27" s="3">
        <v>72.48</v>
      </c>
      <c r="K27" s="3">
        <v>69.908255299999993</v>
      </c>
      <c r="L27" s="3">
        <v>70.458716199999998</v>
      </c>
      <c r="M27" s="3">
        <v>67.89</v>
      </c>
      <c r="N27" s="3">
        <v>77.25</v>
      </c>
      <c r="O27" s="3">
        <v>67.88991089999999</v>
      </c>
      <c r="P27" s="3">
        <v>75.05</v>
      </c>
    </row>
    <row r="28" spans="1:16" ht="27" x14ac:dyDescent="0.4">
      <c r="A28" s="49"/>
      <c r="B28" s="2" t="s">
        <v>36</v>
      </c>
      <c r="C28" s="3">
        <v>62.6</v>
      </c>
      <c r="D28" s="3">
        <v>52.76</v>
      </c>
      <c r="E28" s="3">
        <v>61.07</v>
      </c>
      <c r="F28" s="3">
        <v>58.78</v>
      </c>
      <c r="G28" s="3">
        <v>64.89</v>
      </c>
      <c r="H28" s="3">
        <v>63.19</v>
      </c>
      <c r="I28" s="3">
        <v>66.41</v>
      </c>
      <c r="J28" s="3">
        <v>67.180000000000007</v>
      </c>
      <c r="K28" s="3">
        <v>51.145040999999999</v>
      </c>
      <c r="L28" s="3">
        <v>67.175573099999994</v>
      </c>
      <c r="M28" s="3">
        <v>55.730000000000004</v>
      </c>
      <c r="N28" s="3">
        <v>49.62</v>
      </c>
      <c r="O28" s="3">
        <v>55.725192999999997</v>
      </c>
      <c r="P28" s="3">
        <v>68.7</v>
      </c>
    </row>
    <row r="29" spans="1:16" ht="27" x14ac:dyDescent="0.4">
      <c r="A29" s="49"/>
      <c r="B29" s="2" t="s">
        <v>37</v>
      </c>
      <c r="C29" s="3">
        <v>51.8</v>
      </c>
      <c r="D29" s="3">
        <v>53.43</v>
      </c>
      <c r="E29" s="3">
        <v>49.51</v>
      </c>
      <c r="F29" s="3">
        <v>48.09</v>
      </c>
      <c r="G29" s="3">
        <v>54.11</v>
      </c>
      <c r="H29" s="3">
        <v>55.72</v>
      </c>
      <c r="I29" s="3">
        <v>54.58</v>
      </c>
      <c r="J29" s="3">
        <v>53.92</v>
      </c>
      <c r="K29" s="3">
        <v>50.816994899999997</v>
      </c>
      <c r="L29" s="3">
        <v>53.594774000000001</v>
      </c>
      <c r="M29" s="3">
        <v>48.04</v>
      </c>
      <c r="N29" s="3">
        <v>50.82</v>
      </c>
      <c r="O29" s="3">
        <v>55.5555582</v>
      </c>
      <c r="P29" s="3">
        <v>54.58</v>
      </c>
    </row>
    <row r="30" spans="1:16" ht="27" x14ac:dyDescent="0.4">
      <c r="A30" s="49"/>
      <c r="B30" s="2" t="s">
        <v>38</v>
      </c>
      <c r="C30" s="3">
        <v>60</v>
      </c>
      <c r="D30" s="3">
        <v>54.55</v>
      </c>
      <c r="E30" s="3">
        <v>63.64</v>
      </c>
      <c r="F30" s="3">
        <v>59.09</v>
      </c>
      <c r="G30" s="3">
        <v>55.67</v>
      </c>
      <c r="H30" s="3">
        <v>63.39</v>
      </c>
      <c r="I30" s="3">
        <v>63.64</v>
      </c>
      <c r="J30" s="3">
        <v>66.36</v>
      </c>
      <c r="K30" s="3">
        <v>60.909092399999999</v>
      </c>
      <c r="L30" s="3">
        <v>56.363636299999996</v>
      </c>
      <c r="M30" s="3">
        <v>61.82</v>
      </c>
      <c r="N30" s="3">
        <v>66.36</v>
      </c>
      <c r="O30" s="3">
        <v>61.818182499999999</v>
      </c>
      <c r="P30" s="3">
        <v>66.36</v>
      </c>
    </row>
    <row r="31" spans="1:16" ht="27" x14ac:dyDescent="0.4">
      <c r="A31" s="49"/>
      <c r="B31" s="2" t="s">
        <v>39</v>
      </c>
      <c r="C31" s="3">
        <v>50.2</v>
      </c>
      <c r="D31" s="3">
        <v>48.57</v>
      </c>
      <c r="E31" s="3">
        <v>52.24</v>
      </c>
      <c r="F31" s="3">
        <v>47.35</v>
      </c>
      <c r="G31" s="3">
        <v>50.2</v>
      </c>
      <c r="H31" s="3">
        <v>50.2</v>
      </c>
      <c r="I31" s="3">
        <v>51.43</v>
      </c>
      <c r="J31" s="3">
        <v>53.06</v>
      </c>
      <c r="K31" s="3">
        <v>54.285716999999998</v>
      </c>
      <c r="L31" s="3">
        <v>57.551020399999999</v>
      </c>
      <c r="M31" s="3">
        <v>53.47</v>
      </c>
      <c r="N31" s="3">
        <v>46.94</v>
      </c>
      <c r="O31" s="3">
        <v>53.469389700000001</v>
      </c>
      <c r="P31" s="3">
        <v>53.47</v>
      </c>
    </row>
    <row r="32" spans="1:16" x14ac:dyDescent="0.4">
      <c r="A32" s="49"/>
      <c r="B32" s="2" t="s">
        <v>40</v>
      </c>
      <c r="C32" s="3">
        <v>66.17</v>
      </c>
      <c r="D32" s="3">
        <v>67.19</v>
      </c>
      <c r="E32" s="3">
        <v>65.17</v>
      </c>
      <c r="F32" s="3">
        <v>70.650000000000006</v>
      </c>
      <c r="G32" s="3">
        <v>71.64</v>
      </c>
      <c r="H32" s="3">
        <v>67.790000000000006</v>
      </c>
      <c r="I32" s="3">
        <v>70.150000000000006</v>
      </c>
      <c r="J32" s="3">
        <v>70.150000000000006</v>
      </c>
      <c r="K32" s="3">
        <v>59.203982400000001</v>
      </c>
      <c r="L32" s="3">
        <v>45.273631800000004</v>
      </c>
      <c r="M32" s="3">
        <v>50.749999999999993</v>
      </c>
      <c r="N32" s="3">
        <v>56.720000000000006</v>
      </c>
      <c r="O32" s="3">
        <v>50.746268000000008</v>
      </c>
      <c r="P32" s="3">
        <v>75.62</v>
      </c>
    </row>
    <row r="33" spans="1:16" ht="27" x14ac:dyDescent="0.4">
      <c r="A33" s="49"/>
      <c r="B33" s="2" t="s">
        <v>41</v>
      </c>
      <c r="C33" s="3">
        <v>75</v>
      </c>
      <c r="D33" s="3">
        <v>69</v>
      </c>
      <c r="E33" s="3">
        <v>76</v>
      </c>
      <c r="F33" s="3">
        <v>73</v>
      </c>
      <c r="G33" s="3">
        <v>73</v>
      </c>
      <c r="H33" s="3">
        <v>78</v>
      </c>
      <c r="I33" s="3">
        <v>67</v>
      </c>
      <c r="J33" s="3">
        <v>72</v>
      </c>
      <c r="K33" s="3">
        <v>76.999998099999999</v>
      </c>
      <c r="L33" s="3">
        <v>76.999998099999999</v>
      </c>
      <c r="M33" s="3">
        <v>77</v>
      </c>
      <c r="N33" s="3">
        <v>80</v>
      </c>
      <c r="O33" s="3">
        <v>76.999998099999999</v>
      </c>
      <c r="P33" s="3">
        <v>72</v>
      </c>
    </row>
    <row r="34" spans="1:16" x14ac:dyDescent="0.4">
      <c r="A34" s="4" t="s">
        <v>28</v>
      </c>
      <c r="B34" s="4" t="s">
        <v>71</v>
      </c>
      <c r="C34" s="5">
        <f>AVERAGE(C22:C33)</f>
        <v>60.406666666666666</v>
      </c>
      <c r="D34" s="5">
        <f t="shared" ref="D34:L34" si="2">AVERAGE(D22:D33)</f>
        <v>58.430000000000007</v>
      </c>
      <c r="E34" s="5">
        <f t="shared" si="2"/>
        <v>58.257499999999993</v>
      </c>
      <c r="F34" s="5">
        <f t="shared" si="2"/>
        <v>58.673333333333339</v>
      </c>
      <c r="G34" s="5">
        <f t="shared" si="2"/>
        <v>62.600833333333327</v>
      </c>
      <c r="H34" s="14">
        <f t="shared" si="2"/>
        <v>64.415833333333339</v>
      </c>
      <c r="I34" s="5">
        <f t="shared" si="2"/>
        <v>61.04666666666666</v>
      </c>
      <c r="J34" s="5">
        <f t="shared" si="2"/>
        <v>61.758333333333333</v>
      </c>
      <c r="K34" s="5">
        <f t="shared" si="2"/>
        <v>59.261680391666658</v>
      </c>
      <c r="L34" s="5">
        <f t="shared" si="2"/>
        <v>58.373886108333323</v>
      </c>
      <c r="M34" s="5">
        <f>AVERAGE(M22:M33)</f>
        <v>58.147500000000008</v>
      </c>
      <c r="N34" s="5">
        <f>AVERAGE(N22:N33)</f>
        <v>58.988333333333323</v>
      </c>
      <c r="O34" s="5">
        <f>AVERAGE(O22:O33)</f>
        <v>58.961524058333318</v>
      </c>
      <c r="P34" s="5">
        <f>AVERAGE(P22:P33)</f>
        <v>63.4375</v>
      </c>
    </row>
    <row r="35" spans="1:16" ht="27.75" customHeight="1" x14ac:dyDescent="0.4">
      <c r="A35" s="50" t="s">
        <v>42</v>
      </c>
      <c r="B35" s="2" t="s">
        <v>43</v>
      </c>
      <c r="C35" s="3">
        <v>37.299999999999997</v>
      </c>
      <c r="D35" s="3">
        <v>38.1</v>
      </c>
      <c r="E35" s="3">
        <v>36.51</v>
      </c>
      <c r="F35" s="3">
        <v>33.33</v>
      </c>
      <c r="G35" s="3">
        <v>38.1</v>
      </c>
      <c r="H35" s="3">
        <v>39.840000000000003</v>
      </c>
      <c r="I35" s="3">
        <v>33.33</v>
      </c>
      <c r="J35" s="3">
        <v>36.51</v>
      </c>
      <c r="K35" s="3">
        <v>33.333334299999997</v>
      </c>
      <c r="L35" s="3">
        <v>34.920635799999999</v>
      </c>
      <c r="M35" s="3">
        <v>31.75</v>
      </c>
      <c r="N35" s="3">
        <v>30.95</v>
      </c>
      <c r="O35" s="3">
        <v>30.158731300000003</v>
      </c>
      <c r="P35" s="3">
        <v>36.51</v>
      </c>
    </row>
    <row r="36" spans="1:16" ht="40.5" x14ac:dyDescent="0.4">
      <c r="A36" s="50"/>
      <c r="B36" s="2" t="s">
        <v>44</v>
      </c>
      <c r="C36" s="3">
        <v>63.64</v>
      </c>
      <c r="D36" s="3">
        <v>57.58</v>
      </c>
      <c r="E36" s="3">
        <v>62.42</v>
      </c>
      <c r="F36" s="3">
        <v>65.45</v>
      </c>
      <c r="G36" s="3">
        <v>68.48</v>
      </c>
      <c r="H36" s="3">
        <v>64.84</v>
      </c>
      <c r="I36" s="3">
        <v>64.239999999999995</v>
      </c>
      <c r="J36" s="3">
        <v>63.64</v>
      </c>
      <c r="K36" s="3">
        <v>66.666668700000002</v>
      </c>
      <c r="L36" s="3">
        <v>67.272728700000002</v>
      </c>
      <c r="M36" s="3">
        <v>64.849999999999994</v>
      </c>
      <c r="N36" s="3">
        <v>66.67</v>
      </c>
      <c r="O36" s="3">
        <v>64.848482599999997</v>
      </c>
      <c r="P36" s="3">
        <v>65.45</v>
      </c>
    </row>
    <row r="37" spans="1:16" ht="27" x14ac:dyDescent="0.4">
      <c r="A37" s="50"/>
      <c r="B37" s="2" t="s">
        <v>45</v>
      </c>
      <c r="C37" s="3">
        <v>62.75</v>
      </c>
      <c r="D37" s="3">
        <v>56.86</v>
      </c>
      <c r="E37" s="3">
        <v>65.2</v>
      </c>
      <c r="F37" s="3">
        <v>55.39</v>
      </c>
      <c r="G37" s="3">
        <v>70.59</v>
      </c>
      <c r="H37" s="3">
        <v>70.59</v>
      </c>
      <c r="I37" s="3">
        <v>67.16</v>
      </c>
      <c r="J37" s="3">
        <v>67.650000000000006</v>
      </c>
      <c r="K37" s="3">
        <v>60.784316100000005</v>
      </c>
      <c r="L37" s="3">
        <v>65.196078999999997</v>
      </c>
      <c r="M37" s="3">
        <v>58.330000000000005</v>
      </c>
      <c r="N37" s="3">
        <v>59.8</v>
      </c>
      <c r="O37" s="3">
        <v>58.333331300000005</v>
      </c>
      <c r="P37" s="3">
        <v>68.14</v>
      </c>
    </row>
    <row r="38" spans="1:16" ht="27" x14ac:dyDescent="0.4">
      <c r="A38" s="50"/>
      <c r="B38" s="2" t="s">
        <v>46</v>
      </c>
      <c r="C38" s="3">
        <v>68.349999999999994</v>
      </c>
      <c r="D38" s="3">
        <v>67.510000000000005</v>
      </c>
      <c r="E38" s="3">
        <v>71.23</v>
      </c>
      <c r="F38" s="3">
        <v>64.14</v>
      </c>
      <c r="G38" s="3">
        <v>75</v>
      </c>
      <c r="H38" s="3">
        <v>77.59</v>
      </c>
      <c r="I38" s="3">
        <v>74.680000000000007</v>
      </c>
      <c r="J38" s="3">
        <v>74.260000000000005</v>
      </c>
      <c r="K38" s="3">
        <v>71.729958100000005</v>
      </c>
      <c r="L38" s="3">
        <v>72.995781899999997</v>
      </c>
      <c r="M38" s="3">
        <v>71.31</v>
      </c>
      <c r="N38" s="3">
        <v>70.040000000000006</v>
      </c>
      <c r="O38" s="3">
        <v>71.30801679999999</v>
      </c>
      <c r="P38" s="3">
        <v>73.84</v>
      </c>
    </row>
    <row r="39" spans="1:16" ht="27" x14ac:dyDescent="0.4">
      <c r="A39" s="50"/>
      <c r="B39" s="2" t="s">
        <v>47</v>
      </c>
      <c r="C39" s="3">
        <v>61.98</v>
      </c>
      <c r="D39" s="3">
        <v>65.290000000000006</v>
      </c>
      <c r="E39" s="3">
        <v>64.459999999999994</v>
      </c>
      <c r="F39" s="3">
        <v>66.12</v>
      </c>
      <c r="G39" s="3">
        <v>71.069999999999993</v>
      </c>
      <c r="H39" s="3">
        <v>67.97</v>
      </c>
      <c r="I39" s="3">
        <v>63.64</v>
      </c>
      <c r="J39" s="3">
        <v>67.77</v>
      </c>
      <c r="K39" s="3">
        <v>66.115701200000004</v>
      </c>
      <c r="L39" s="3">
        <v>61.9834721</v>
      </c>
      <c r="M39" s="3">
        <v>68.600000000000009</v>
      </c>
      <c r="N39" s="3">
        <v>66.12</v>
      </c>
      <c r="O39" s="3">
        <v>68.595039799999995</v>
      </c>
      <c r="P39" s="3">
        <v>71.069999999999993</v>
      </c>
    </row>
    <row r="40" spans="1:16" x14ac:dyDescent="0.4">
      <c r="A40" s="50"/>
      <c r="B40" s="2" t="s">
        <v>48</v>
      </c>
      <c r="C40" s="3">
        <v>57.41</v>
      </c>
      <c r="D40" s="3">
        <v>63.89</v>
      </c>
      <c r="E40" s="3">
        <v>62.04</v>
      </c>
      <c r="F40" s="3">
        <v>62.04</v>
      </c>
      <c r="G40" s="3">
        <v>56.48</v>
      </c>
      <c r="H40" s="3">
        <v>66.97</v>
      </c>
      <c r="I40" s="3">
        <v>57.41</v>
      </c>
      <c r="J40" s="3">
        <v>54.63</v>
      </c>
      <c r="K40" s="3">
        <v>56.481480599999998</v>
      </c>
      <c r="L40" s="3">
        <v>53.703701500000001</v>
      </c>
      <c r="M40" s="3">
        <v>63.89</v>
      </c>
      <c r="N40" s="3">
        <v>62.039999999999992</v>
      </c>
      <c r="O40" s="3">
        <v>63.888889599999999</v>
      </c>
      <c r="P40" s="3">
        <v>71.3</v>
      </c>
    </row>
    <row r="41" spans="1:16" ht="27" x14ac:dyDescent="0.4">
      <c r="A41" s="50"/>
      <c r="B41" s="2" t="s">
        <v>49</v>
      </c>
      <c r="C41" s="3">
        <v>63.19</v>
      </c>
      <c r="D41" s="3">
        <v>65.03</v>
      </c>
      <c r="E41" s="3">
        <v>68.099999999999994</v>
      </c>
      <c r="F41" s="3">
        <v>66.87</v>
      </c>
      <c r="G41" s="3">
        <v>64.42</v>
      </c>
      <c r="H41" s="3">
        <v>64.739999999999995</v>
      </c>
      <c r="I41" s="3">
        <v>65.03</v>
      </c>
      <c r="J41" s="3">
        <v>71.17</v>
      </c>
      <c r="K41" s="3">
        <v>68.098157599999993</v>
      </c>
      <c r="L41" s="3">
        <v>68.098157599999993</v>
      </c>
      <c r="M41" s="3">
        <v>63.800000000000004</v>
      </c>
      <c r="N41" s="3">
        <v>67.47999999999999</v>
      </c>
      <c r="O41" s="3">
        <v>63.8036788</v>
      </c>
      <c r="P41" s="3">
        <v>65.03</v>
      </c>
    </row>
    <row r="42" spans="1:16" ht="27" x14ac:dyDescent="0.4">
      <c r="A42" s="50"/>
      <c r="B42" s="2" t="s">
        <v>50</v>
      </c>
      <c r="C42" s="3">
        <v>49.71</v>
      </c>
      <c r="D42" s="3">
        <v>51.16</v>
      </c>
      <c r="E42" s="3">
        <v>58.96</v>
      </c>
      <c r="F42" s="3">
        <v>55.49</v>
      </c>
      <c r="G42" s="3">
        <v>57.23</v>
      </c>
      <c r="H42" s="3">
        <v>59.94</v>
      </c>
      <c r="I42" s="3">
        <v>55.2</v>
      </c>
      <c r="J42" s="3">
        <v>57.51</v>
      </c>
      <c r="K42" s="3">
        <v>60.115605600000002</v>
      </c>
      <c r="L42" s="3">
        <v>53.757226500000002</v>
      </c>
      <c r="M42" s="3">
        <v>59.25</v>
      </c>
      <c r="N42" s="3">
        <v>56.65</v>
      </c>
      <c r="O42" s="3">
        <v>59.2485547</v>
      </c>
      <c r="P42" s="3">
        <v>58.67</v>
      </c>
    </row>
    <row r="43" spans="1:16" ht="27" x14ac:dyDescent="0.4">
      <c r="A43" s="50"/>
      <c r="B43" s="2" t="s">
        <v>51</v>
      </c>
      <c r="C43" s="3">
        <v>24.36</v>
      </c>
      <c r="D43" s="3">
        <v>27.93</v>
      </c>
      <c r="E43" s="3">
        <v>27.26</v>
      </c>
      <c r="F43" s="3">
        <v>29.27</v>
      </c>
      <c r="G43" s="3">
        <v>30.5</v>
      </c>
      <c r="H43" s="3">
        <v>26.67</v>
      </c>
      <c r="I43" s="3">
        <v>30.61</v>
      </c>
      <c r="J43" s="3">
        <v>27.04</v>
      </c>
      <c r="K43" s="3">
        <v>28.826814899999999</v>
      </c>
      <c r="L43" s="3">
        <v>25.139665600000001</v>
      </c>
      <c r="M43" s="3">
        <v>31.28</v>
      </c>
      <c r="N43" s="3">
        <v>26.26</v>
      </c>
      <c r="O43" s="3">
        <v>31.2849164</v>
      </c>
      <c r="P43" s="3">
        <v>28.27</v>
      </c>
    </row>
    <row r="44" spans="1:16" x14ac:dyDescent="0.4">
      <c r="A44" s="50"/>
      <c r="B44" s="2" t="s">
        <v>52</v>
      </c>
      <c r="C44" s="3">
        <v>56.91</v>
      </c>
      <c r="D44" s="3">
        <v>54.66</v>
      </c>
      <c r="E44" s="3">
        <v>54.66</v>
      </c>
      <c r="F44" s="3">
        <v>57.23</v>
      </c>
      <c r="G44" s="3">
        <v>57.23</v>
      </c>
      <c r="H44" s="3">
        <v>58.75</v>
      </c>
      <c r="I44" s="3">
        <v>55.95</v>
      </c>
      <c r="J44" s="3">
        <v>57.88</v>
      </c>
      <c r="K44" s="3">
        <v>58.842444400000005</v>
      </c>
      <c r="L44" s="3">
        <v>55.948555499999998</v>
      </c>
      <c r="M44" s="3">
        <v>53.7</v>
      </c>
      <c r="N44" s="3">
        <v>49.84</v>
      </c>
      <c r="O44" s="3">
        <v>53.697746999999993</v>
      </c>
      <c r="P44" s="3">
        <v>56.27</v>
      </c>
    </row>
    <row r="45" spans="1:16" x14ac:dyDescent="0.4">
      <c r="A45" s="50"/>
      <c r="B45" s="2" t="s">
        <v>53</v>
      </c>
      <c r="C45" s="3">
        <v>60.49</v>
      </c>
      <c r="D45" s="3">
        <v>52.16</v>
      </c>
      <c r="E45" s="3">
        <v>58.64</v>
      </c>
      <c r="F45" s="3">
        <v>56.17</v>
      </c>
      <c r="G45" s="3">
        <v>58.95</v>
      </c>
      <c r="H45" s="3">
        <v>58.96</v>
      </c>
      <c r="I45" s="3">
        <v>60.19</v>
      </c>
      <c r="J45" s="3">
        <v>55.87</v>
      </c>
      <c r="K45" s="3">
        <v>60.185188099999998</v>
      </c>
      <c r="L45" s="3">
        <v>60.185188099999998</v>
      </c>
      <c r="M45" s="3">
        <v>60.8</v>
      </c>
      <c r="N45" s="3">
        <v>57.720000000000006</v>
      </c>
      <c r="O45" s="3">
        <v>59.876543299999994</v>
      </c>
      <c r="P45" s="3">
        <v>57.1</v>
      </c>
    </row>
    <row r="46" spans="1:16" ht="27" x14ac:dyDescent="0.4">
      <c r="A46" s="50"/>
      <c r="B46" s="2" t="s">
        <v>54</v>
      </c>
      <c r="C46" s="3">
        <v>40.61</v>
      </c>
      <c r="D46" s="3">
        <v>38.53</v>
      </c>
      <c r="E46" s="3">
        <v>32.01</v>
      </c>
      <c r="F46" s="3">
        <v>41.98</v>
      </c>
      <c r="G46" s="3">
        <v>38.979999999999997</v>
      </c>
      <c r="H46" s="3">
        <v>43.05</v>
      </c>
      <c r="I46" s="3">
        <v>40.22</v>
      </c>
      <c r="J46" s="3">
        <v>38.79</v>
      </c>
      <c r="K46" s="3">
        <v>41.069099299999998</v>
      </c>
      <c r="L46" s="3">
        <v>38.135594099999999</v>
      </c>
      <c r="M46" s="3">
        <v>40.479999999999997</v>
      </c>
      <c r="N46" s="3">
        <v>39.44</v>
      </c>
      <c r="O46" s="3">
        <v>40.4823989</v>
      </c>
      <c r="P46" s="3">
        <v>41.2</v>
      </c>
    </row>
    <row r="47" spans="1:16" x14ac:dyDescent="0.4">
      <c r="A47" s="50"/>
      <c r="B47" s="2" t="s">
        <v>55</v>
      </c>
      <c r="C47" s="3">
        <v>73.680000000000007</v>
      </c>
      <c r="D47" s="3">
        <v>69.59</v>
      </c>
      <c r="E47" s="3">
        <v>71.930000000000007</v>
      </c>
      <c r="F47" s="3">
        <v>74.27</v>
      </c>
      <c r="G47" s="3">
        <v>74.27</v>
      </c>
      <c r="H47" s="3">
        <v>75</v>
      </c>
      <c r="I47" s="3">
        <v>73.099999999999994</v>
      </c>
      <c r="J47" s="3">
        <v>73.680000000000007</v>
      </c>
      <c r="K47" s="3">
        <v>76.023393900000002</v>
      </c>
      <c r="L47" s="3">
        <v>69.005847000000003</v>
      </c>
      <c r="M47" s="3">
        <v>73.099999999999994</v>
      </c>
      <c r="N47" s="3">
        <v>76.61</v>
      </c>
      <c r="O47" s="3">
        <v>73.099416500000004</v>
      </c>
      <c r="P47" s="3">
        <v>73.680000000000007</v>
      </c>
    </row>
    <row r="48" spans="1:16" x14ac:dyDescent="0.4">
      <c r="A48" s="4" t="s">
        <v>28</v>
      </c>
      <c r="B48" s="4" t="s">
        <v>71</v>
      </c>
      <c r="C48" s="5">
        <f>AVERAGE(C35:C47)</f>
        <v>55.413846153846144</v>
      </c>
      <c r="D48" s="5">
        <f t="shared" ref="D48:P48" si="3">AVERAGE(D35:D47)</f>
        <v>54.483846153846152</v>
      </c>
      <c r="E48" s="5">
        <f t="shared" si="3"/>
        <v>56.416923076923084</v>
      </c>
      <c r="F48" s="5">
        <f t="shared" si="3"/>
        <v>55.980769230769234</v>
      </c>
      <c r="G48" s="5">
        <f t="shared" si="3"/>
        <v>58.561538461538476</v>
      </c>
      <c r="H48" s="14">
        <f t="shared" si="3"/>
        <v>59.608461538461533</v>
      </c>
      <c r="I48" s="5">
        <f t="shared" si="3"/>
        <v>56.98153846153847</v>
      </c>
      <c r="J48" s="5">
        <f t="shared" si="3"/>
        <v>57.415384615384603</v>
      </c>
      <c r="K48" s="5">
        <f t="shared" si="3"/>
        <v>57.559397138461534</v>
      </c>
      <c r="L48" s="5">
        <f t="shared" si="3"/>
        <v>55.872510261538466</v>
      </c>
      <c r="M48" s="5">
        <f t="shared" si="3"/>
        <v>57.010769230769242</v>
      </c>
      <c r="N48" s="5">
        <f t="shared" si="3"/>
        <v>56.124615384615382</v>
      </c>
      <c r="O48" s="5">
        <f t="shared" si="3"/>
        <v>56.81736515384614</v>
      </c>
      <c r="P48" s="5">
        <f t="shared" si="3"/>
        <v>58.96384615384617</v>
      </c>
    </row>
    <row r="49" spans="1:16" ht="27" x14ac:dyDescent="0.4">
      <c r="A49" s="51" t="s">
        <v>56</v>
      </c>
      <c r="B49" s="2" t="s">
        <v>57</v>
      </c>
      <c r="C49" s="3">
        <v>47</v>
      </c>
      <c r="D49" s="3">
        <v>63</v>
      </c>
      <c r="E49" s="3">
        <v>55</v>
      </c>
      <c r="F49" s="3">
        <v>51</v>
      </c>
      <c r="G49" s="3">
        <v>55</v>
      </c>
      <c r="H49" s="3">
        <v>55.36</v>
      </c>
      <c r="I49" s="3">
        <v>55</v>
      </c>
      <c r="J49" s="3">
        <v>55</v>
      </c>
      <c r="K49" s="3">
        <v>51.999998099999999</v>
      </c>
      <c r="L49" s="3">
        <v>52.999997099999995</v>
      </c>
      <c r="M49" s="3">
        <v>53</v>
      </c>
      <c r="N49" s="3">
        <v>56.999999999999993</v>
      </c>
      <c r="O49" s="3">
        <v>55.000001200000007</v>
      </c>
      <c r="P49" s="3">
        <v>56</v>
      </c>
    </row>
    <row r="50" spans="1:16" ht="27" x14ac:dyDescent="0.4">
      <c r="A50" s="51"/>
      <c r="B50" s="2" t="s">
        <v>58</v>
      </c>
      <c r="C50" s="3">
        <v>54.34</v>
      </c>
      <c r="D50" s="3">
        <v>56.6</v>
      </c>
      <c r="E50" s="3">
        <v>51.2</v>
      </c>
      <c r="F50" s="3">
        <v>51.7</v>
      </c>
      <c r="G50" s="3">
        <v>62.26</v>
      </c>
      <c r="H50" s="3">
        <v>60.69</v>
      </c>
      <c r="I50" s="3">
        <v>56.98</v>
      </c>
      <c r="J50" s="3">
        <v>60.75</v>
      </c>
      <c r="K50" s="3">
        <v>52.075469500000004</v>
      </c>
      <c r="L50" s="3">
        <v>59.245282400000001</v>
      </c>
      <c r="M50" s="3">
        <v>52.83</v>
      </c>
      <c r="N50" s="3">
        <v>54.72</v>
      </c>
      <c r="O50" s="3">
        <v>52.830189500000003</v>
      </c>
      <c r="P50" s="3">
        <v>62.64</v>
      </c>
    </row>
    <row r="51" spans="1:16" ht="27" x14ac:dyDescent="0.4">
      <c r="A51" s="51"/>
      <c r="B51" s="2" t="s">
        <v>59</v>
      </c>
      <c r="C51" s="3">
        <v>54.34</v>
      </c>
      <c r="D51" s="3">
        <v>53.17</v>
      </c>
      <c r="E51" s="3">
        <v>46.87</v>
      </c>
      <c r="F51" s="3">
        <v>49.71</v>
      </c>
      <c r="G51" s="3">
        <v>58.96</v>
      </c>
      <c r="H51" s="3">
        <v>58.96</v>
      </c>
      <c r="I51" s="3">
        <v>52.02</v>
      </c>
      <c r="J51" s="3">
        <v>54.34</v>
      </c>
      <c r="K51" s="3">
        <v>47.976878299999996</v>
      </c>
      <c r="L51" s="3">
        <v>50.867050900000002</v>
      </c>
      <c r="M51" s="3">
        <v>48.55</v>
      </c>
      <c r="N51" s="3">
        <v>50.29</v>
      </c>
      <c r="O51" s="3">
        <v>46.242773499999998</v>
      </c>
      <c r="P51" s="3">
        <v>53.18</v>
      </c>
    </row>
    <row r="52" spans="1:16" x14ac:dyDescent="0.4">
      <c r="A52" s="51"/>
      <c r="B52" s="2" t="s">
        <v>60</v>
      </c>
      <c r="C52" s="3">
        <v>32</v>
      </c>
      <c r="D52" s="3">
        <v>39</v>
      </c>
      <c r="E52" s="3">
        <v>32</v>
      </c>
      <c r="F52" s="3">
        <v>35</v>
      </c>
      <c r="G52" s="3">
        <v>36</v>
      </c>
      <c r="H52" s="3">
        <v>37.5</v>
      </c>
      <c r="I52" s="3">
        <v>39</v>
      </c>
      <c r="J52" s="3">
        <v>37</v>
      </c>
      <c r="K52" s="3">
        <v>34.9999994</v>
      </c>
      <c r="L52" s="3">
        <v>36.000001399999995</v>
      </c>
      <c r="M52" s="3">
        <v>39</v>
      </c>
      <c r="N52" s="3">
        <v>35</v>
      </c>
      <c r="O52" s="3">
        <v>36.000001399999995</v>
      </c>
      <c r="P52" s="3">
        <v>34</v>
      </c>
    </row>
    <row r="53" spans="1:16" x14ac:dyDescent="0.4">
      <c r="A53" s="51"/>
      <c r="B53" s="2" t="s">
        <v>61</v>
      </c>
      <c r="C53" s="3">
        <v>56.5</v>
      </c>
      <c r="D53" s="3">
        <v>55.61</v>
      </c>
      <c r="E53" s="3">
        <v>58.74</v>
      </c>
      <c r="F53" s="3">
        <v>58.3</v>
      </c>
      <c r="G53" s="3">
        <v>58.3</v>
      </c>
      <c r="H53" s="3">
        <v>61.19</v>
      </c>
      <c r="I53" s="3">
        <v>53.81</v>
      </c>
      <c r="J53" s="3">
        <v>56.05</v>
      </c>
      <c r="K53" s="3">
        <v>56.0538113</v>
      </c>
      <c r="L53" s="3">
        <v>57.399106000000003</v>
      </c>
      <c r="M53" s="3">
        <v>50.67</v>
      </c>
      <c r="N53" s="3">
        <v>51.12</v>
      </c>
      <c r="O53" s="3">
        <v>43.497759099999996</v>
      </c>
      <c r="P53" s="3">
        <v>58.74</v>
      </c>
    </row>
    <row r="54" spans="1:16" x14ac:dyDescent="0.4">
      <c r="A54" s="51"/>
      <c r="B54" s="2" t="s">
        <v>62</v>
      </c>
      <c r="C54" s="3">
        <v>61.17</v>
      </c>
      <c r="D54" s="3">
        <v>64.08</v>
      </c>
      <c r="E54" s="3">
        <v>63.11</v>
      </c>
      <c r="F54" s="3">
        <v>60.19</v>
      </c>
      <c r="G54" s="3">
        <v>68.930000000000007</v>
      </c>
      <c r="H54" s="3">
        <v>74.17</v>
      </c>
      <c r="I54" s="3">
        <v>71.84</v>
      </c>
      <c r="J54" s="3">
        <v>72.819999999999993</v>
      </c>
      <c r="K54" s="3">
        <v>66.019415899999998</v>
      </c>
      <c r="L54" s="3">
        <v>67.961162299999998</v>
      </c>
      <c r="M54" s="3">
        <v>67.959999999999994</v>
      </c>
      <c r="N54" s="3">
        <v>69.899999999999991</v>
      </c>
      <c r="O54" s="3">
        <v>67.961162299999998</v>
      </c>
      <c r="P54" s="3">
        <v>69.900000000000006</v>
      </c>
    </row>
    <row r="55" spans="1:16" x14ac:dyDescent="0.4">
      <c r="A55" s="51"/>
      <c r="B55" s="2" t="s">
        <v>63</v>
      </c>
      <c r="C55" s="3">
        <v>75.64</v>
      </c>
      <c r="D55" s="3">
        <v>80.34</v>
      </c>
      <c r="E55" s="3">
        <v>76.92</v>
      </c>
      <c r="F55" s="3">
        <v>77.349999999999994</v>
      </c>
      <c r="G55" s="3">
        <v>84.19</v>
      </c>
      <c r="H55" s="3">
        <v>83.33</v>
      </c>
      <c r="I55" s="3">
        <v>80.77</v>
      </c>
      <c r="J55" s="3">
        <v>80.77</v>
      </c>
      <c r="K55" s="3">
        <v>76.9230783</v>
      </c>
      <c r="L55" s="3">
        <v>76.068377499999997</v>
      </c>
      <c r="M55" s="3">
        <v>77.78</v>
      </c>
      <c r="N55" s="3">
        <v>74.36</v>
      </c>
      <c r="O55" s="3">
        <v>77.777779100000004</v>
      </c>
      <c r="P55" s="3">
        <v>81.2</v>
      </c>
    </row>
    <row r="56" spans="1:16" ht="27" x14ac:dyDescent="0.4">
      <c r="A56" s="51"/>
      <c r="B56" s="2" t="s">
        <v>64</v>
      </c>
      <c r="C56" s="3">
        <v>54</v>
      </c>
      <c r="D56" s="3">
        <v>55</v>
      </c>
      <c r="E56" s="3">
        <v>55</v>
      </c>
      <c r="F56" s="3">
        <v>57</v>
      </c>
      <c r="G56" s="3">
        <v>56</v>
      </c>
      <c r="H56" s="3">
        <v>58.04</v>
      </c>
      <c r="I56" s="3">
        <v>54</v>
      </c>
      <c r="J56" s="3">
        <v>53</v>
      </c>
      <c r="K56" s="3">
        <v>54.000002100000003</v>
      </c>
      <c r="L56" s="3">
        <v>50</v>
      </c>
      <c r="M56" s="3">
        <v>50</v>
      </c>
      <c r="N56" s="3">
        <v>52</v>
      </c>
      <c r="O56" s="3">
        <v>55.000001200000007</v>
      </c>
      <c r="P56" s="3">
        <v>59</v>
      </c>
    </row>
    <row r="57" spans="1:16" x14ac:dyDescent="0.4">
      <c r="A57" s="51"/>
      <c r="B57" s="2" t="s">
        <v>65</v>
      </c>
      <c r="C57" s="3">
        <v>73.31</v>
      </c>
      <c r="D57" s="3">
        <v>74.2</v>
      </c>
      <c r="E57" s="3">
        <v>72.41</v>
      </c>
      <c r="F57" s="3">
        <v>72.8</v>
      </c>
      <c r="G57" s="3">
        <v>72.8</v>
      </c>
      <c r="H57" s="3">
        <v>74.14</v>
      </c>
      <c r="I57" s="3">
        <v>73.3</v>
      </c>
      <c r="J57" s="3">
        <v>71.14</v>
      </c>
      <c r="K57" s="3">
        <v>62.962961200000002</v>
      </c>
      <c r="L57" s="3">
        <v>72.669219999999996</v>
      </c>
      <c r="M57" s="3">
        <v>66.16</v>
      </c>
      <c r="N57" s="3">
        <v>64.11</v>
      </c>
      <c r="O57" s="3">
        <v>68.199235200000004</v>
      </c>
      <c r="P57" s="3">
        <v>72.16</v>
      </c>
    </row>
    <row r="58" spans="1:16" x14ac:dyDescent="0.4">
      <c r="A58" s="51"/>
      <c r="B58" s="2" t="s">
        <v>66</v>
      </c>
      <c r="C58" s="3">
        <v>59.15</v>
      </c>
      <c r="D58" s="3">
        <v>53.59</v>
      </c>
      <c r="E58" s="3">
        <v>56.86</v>
      </c>
      <c r="F58" s="3">
        <v>62.09</v>
      </c>
      <c r="G58" s="3">
        <v>61.11</v>
      </c>
      <c r="H58" s="3">
        <v>60</v>
      </c>
      <c r="I58" s="3">
        <v>64.38</v>
      </c>
      <c r="J58" s="3">
        <v>62.75</v>
      </c>
      <c r="K58" s="3">
        <v>58.823531900000006</v>
      </c>
      <c r="L58" s="3">
        <v>58.169937099999999</v>
      </c>
      <c r="M58" s="3">
        <v>61.760000000000005</v>
      </c>
      <c r="N58" s="3">
        <v>56.86</v>
      </c>
      <c r="O58" s="3">
        <v>51.633989800000002</v>
      </c>
      <c r="P58" s="3">
        <v>66.34</v>
      </c>
    </row>
    <row r="59" spans="1:16" ht="27" x14ac:dyDescent="0.4">
      <c r="A59" s="51"/>
      <c r="B59" s="2" t="s">
        <v>67</v>
      </c>
      <c r="C59" s="3">
        <v>40.07</v>
      </c>
      <c r="D59" s="3">
        <v>41.48</v>
      </c>
      <c r="E59" s="3">
        <v>46.45</v>
      </c>
      <c r="F59" s="3">
        <v>42.9</v>
      </c>
      <c r="G59" s="3">
        <v>55.72</v>
      </c>
      <c r="H59" s="3">
        <v>45.03</v>
      </c>
      <c r="I59" s="3">
        <v>40.07</v>
      </c>
      <c r="J59" s="3">
        <v>39.36</v>
      </c>
      <c r="K59" s="3">
        <v>41.134750799999999</v>
      </c>
      <c r="L59" s="3">
        <v>45.0354606</v>
      </c>
      <c r="M59" s="3">
        <v>45.04</v>
      </c>
      <c r="N59" s="3">
        <v>40.43</v>
      </c>
      <c r="O59" s="3">
        <v>45.0354606</v>
      </c>
      <c r="P59" s="3">
        <v>39.36</v>
      </c>
    </row>
    <row r="60" spans="1:16" ht="27" x14ac:dyDescent="0.4">
      <c r="A60" s="51"/>
      <c r="B60" s="2" t="s">
        <v>68</v>
      </c>
      <c r="C60" s="3">
        <v>55.15</v>
      </c>
      <c r="D60" s="3">
        <v>45.22</v>
      </c>
      <c r="E60" s="3">
        <v>0.5</v>
      </c>
      <c r="F60" s="3">
        <v>50.73</v>
      </c>
      <c r="G60" s="3">
        <v>44.33</v>
      </c>
      <c r="H60" s="3">
        <v>48.53</v>
      </c>
      <c r="I60" s="3">
        <v>46.69</v>
      </c>
      <c r="J60" s="3">
        <v>44.85</v>
      </c>
      <c r="K60" s="3">
        <v>51.470589600000004</v>
      </c>
      <c r="L60" s="3">
        <v>45.955881500000004</v>
      </c>
      <c r="M60" s="3">
        <v>45.96</v>
      </c>
      <c r="N60" s="3">
        <v>44.85</v>
      </c>
      <c r="O60" s="3">
        <v>45.588234100000001</v>
      </c>
      <c r="P60" s="3">
        <v>52.21</v>
      </c>
    </row>
    <row r="61" spans="1:16" x14ac:dyDescent="0.4">
      <c r="A61" s="51"/>
      <c r="B61" s="2" t="s">
        <v>69</v>
      </c>
      <c r="C61" s="3">
        <v>46.39</v>
      </c>
      <c r="D61" s="3">
        <v>47.22</v>
      </c>
      <c r="E61" s="3">
        <v>48.8</v>
      </c>
      <c r="F61" s="3">
        <v>50</v>
      </c>
      <c r="G61" s="3">
        <v>53.61</v>
      </c>
      <c r="H61" s="3">
        <v>47.16</v>
      </c>
      <c r="I61" s="3">
        <v>48.19</v>
      </c>
      <c r="J61" s="3">
        <v>48.19</v>
      </c>
      <c r="K61" s="3">
        <v>47.590359999999997</v>
      </c>
      <c r="L61" s="3">
        <v>46.9879508</v>
      </c>
      <c r="M61" s="3">
        <v>50.6</v>
      </c>
      <c r="N61" s="3">
        <v>49.4</v>
      </c>
      <c r="O61" s="3">
        <v>50.602412200000003</v>
      </c>
      <c r="P61" s="3">
        <v>51.21</v>
      </c>
    </row>
    <row r="62" spans="1:16" x14ac:dyDescent="0.4">
      <c r="A62" s="6"/>
      <c r="B62" s="4" t="s">
        <v>71</v>
      </c>
      <c r="C62" s="5">
        <f>AVERAGE(C49:C61)</f>
        <v>54.543076923076924</v>
      </c>
      <c r="D62" s="5">
        <f t="shared" ref="D62:P62" si="4">AVERAGE(D49:D61)</f>
        <v>56.039230769230777</v>
      </c>
      <c r="E62" s="5">
        <f t="shared" si="4"/>
        <v>51.066153846153846</v>
      </c>
      <c r="F62" s="5">
        <f t="shared" si="4"/>
        <v>55.29</v>
      </c>
      <c r="G62" s="14">
        <f t="shared" si="4"/>
        <v>59.016153846153848</v>
      </c>
      <c r="H62" s="5">
        <f t="shared" si="4"/>
        <v>58.776923076923069</v>
      </c>
      <c r="I62" s="5">
        <f t="shared" si="4"/>
        <v>56.619230769230768</v>
      </c>
      <c r="J62" s="5">
        <f t="shared" si="4"/>
        <v>56.616923076923072</v>
      </c>
      <c r="K62" s="5">
        <f t="shared" si="4"/>
        <v>54.002372800000003</v>
      </c>
      <c r="L62" s="5">
        <f t="shared" si="4"/>
        <v>55.335340584615388</v>
      </c>
      <c r="M62" s="5">
        <f t="shared" si="4"/>
        <v>54.562307692307691</v>
      </c>
      <c r="N62" s="5">
        <f t="shared" si="4"/>
        <v>53.849230769230765</v>
      </c>
      <c r="O62" s="5">
        <f t="shared" si="4"/>
        <v>53.489923015384612</v>
      </c>
      <c r="P62" s="5">
        <f t="shared" si="4"/>
        <v>58.149230769230783</v>
      </c>
    </row>
    <row r="63" spans="1:16" x14ac:dyDescent="0.4">
      <c r="A63" s="7"/>
      <c r="B63" s="8" t="s">
        <v>72</v>
      </c>
      <c r="C63" s="8">
        <f t="shared" ref="C63:H63" si="5">AVERAGE(C2:C20,C22:C33,C35:C47,C49:C61)</f>
        <v>53.497719298245613</v>
      </c>
      <c r="D63" s="8">
        <f t="shared" si="5"/>
        <v>53.903333333333322</v>
      </c>
      <c r="E63" s="8">
        <f t="shared" si="5"/>
        <v>51.783859649122803</v>
      </c>
      <c r="F63" s="8">
        <f t="shared" si="5"/>
        <v>52.979649122807039</v>
      </c>
      <c r="G63" s="13">
        <f t="shared" si="5"/>
        <v>55.926666666666677</v>
      </c>
      <c r="H63" s="8">
        <f t="shared" si="5"/>
        <v>57.098245614035093</v>
      </c>
      <c r="I63" s="8">
        <f t="shared" ref="I63:O63" si="6">AVERAGE(I2:I20,I22:I33,I35:I47,I49:I61)</f>
        <v>54.284210526315803</v>
      </c>
      <c r="J63" s="8">
        <f t="shared" si="6"/>
        <v>54.449824561403531</v>
      </c>
      <c r="K63" s="8">
        <f t="shared" si="6"/>
        <v>53.512231245614025</v>
      </c>
      <c r="L63" s="8">
        <f t="shared" si="6"/>
        <v>52.835626873684227</v>
      </c>
      <c r="M63" s="8">
        <f t="shared" si="6"/>
        <v>53.48947368421053</v>
      </c>
      <c r="N63" s="8">
        <f t="shared" si="6"/>
        <v>53.287192982456148</v>
      </c>
      <c r="O63" s="8">
        <f t="shared" si="6"/>
        <v>53.566375582456153</v>
      </c>
      <c r="P63" s="8">
        <f>AVERAGE(P2:P20,P22:P33,P35:P47,P49:P61)</f>
        <v>55.585964912280687</v>
      </c>
    </row>
    <row r="64" spans="1:16" ht="55.5" x14ac:dyDescent="0.4">
      <c r="A64" s="19"/>
      <c r="B64" s="19"/>
      <c r="C64" s="10" t="s">
        <v>2</v>
      </c>
      <c r="D64" s="10" t="s">
        <v>3</v>
      </c>
      <c r="E64" s="10" t="s">
        <v>4</v>
      </c>
      <c r="F64" s="10" t="s">
        <v>5</v>
      </c>
      <c r="G64" s="10" t="s">
        <v>6</v>
      </c>
      <c r="H64" s="10" t="s">
        <v>7</v>
      </c>
      <c r="I64" s="11" t="s">
        <v>70</v>
      </c>
      <c r="J64" s="11" t="s">
        <v>73</v>
      </c>
      <c r="K64" s="20" t="s">
        <v>187</v>
      </c>
      <c r="L64" s="20" t="s">
        <v>188</v>
      </c>
      <c r="M64" s="20" t="s">
        <v>133</v>
      </c>
      <c r="N64" s="21" t="s">
        <v>134</v>
      </c>
      <c r="O64" s="22" t="s">
        <v>132</v>
      </c>
      <c r="P64" s="44" t="s">
        <v>269</v>
      </c>
    </row>
    <row r="65" spans="1:11" x14ac:dyDescent="0.4">
      <c r="I65" t="s">
        <v>135</v>
      </c>
      <c r="J65" t="s">
        <v>135</v>
      </c>
      <c r="K65" t="s">
        <v>135</v>
      </c>
    </row>
    <row r="72" spans="1:11" ht="27.75" x14ac:dyDescent="0.4">
      <c r="A72" s="1" t="s">
        <v>0</v>
      </c>
      <c r="B72" s="1" t="s">
        <v>1</v>
      </c>
      <c r="C72" s="10" t="s">
        <v>6</v>
      </c>
      <c r="D72" s="11" t="s">
        <v>280</v>
      </c>
      <c r="E72" s="11" t="s">
        <v>280</v>
      </c>
      <c r="F72" s="20" t="s">
        <v>280</v>
      </c>
    </row>
    <row r="73" spans="1:11" ht="27" x14ac:dyDescent="0.4">
      <c r="A73" s="52" t="s">
        <v>8</v>
      </c>
      <c r="B73" s="2" t="s">
        <v>9</v>
      </c>
      <c r="C73" s="3">
        <v>32</v>
      </c>
      <c r="D73" s="3">
        <v>35</v>
      </c>
      <c r="E73" s="3">
        <v>33</v>
      </c>
      <c r="F73" s="3">
        <v>34.000000400000005</v>
      </c>
    </row>
    <row r="74" spans="1:11" x14ac:dyDescent="0.4">
      <c r="A74" s="52"/>
      <c r="B74" s="2" t="s">
        <v>10</v>
      </c>
      <c r="C74" s="3">
        <v>54.81</v>
      </c>
      <c r="D74" s="3">
        <v>54.07</v>
      </c>
      <c r="E74" s="3">
        <v>54.81</v>
      </c>
      <c r="F74" s="3">
        <v>51.111114000000001</v>
      </c>
    </row>
    <row r="75" spans="1:11" x14ac:dyDescent="0.4">
      <c r="A75" s="52"/>
      <c r="B75" s="2" t="s">
        <v>11</v>
      </c>
      <c r="C75" s="3">
        <v>64.47</v>
      </c>
      <c r="D75" s="3">
        <v>61.18</v>
      </c>
      <c r="E75" s="3">
        <v>60.53</v>
      </c>
      <c r="F75" s="3">
        <v>50.657892199999999</v>
      </c>
    </row>
    <row r="76" spans="1:11" ht="27" x14ac:dyDescent="0.4">
      <c r="A76" s="52"/>
      <c r="B76" s="2" t="s">
        <v>12</v>
      </c>
      <c r="C76" s="3">
        <v>64.58</v>
      </c>
      <c r="D76" s="3">
        <v>65.97</v>
      </c>
      <c r="E76" s="3">
        <v>64.58</v>
      </c>
      <c r="F76" s="3">
        <v>56.9444418</v>
      </c>
    </row>
    <row r="77" spans="1:11" ht="27" x14ac:dyDescent="0.4">
      <c r="A77" s="52"/>
      <c r="B77" s="2" t="s">
        <v>13</v>
      </c>
      <c r="C77" s="3">
        <v>43</v>
      </c>
      <c r="D77" s="3">
        <v>42</v>
      </c>
      <c r="E77" s="3">
        <v>36</v>
      </c>
      <c r="F77" s="3">
        <v>49.000000999999997</v>
      </c>
    </row>
    <row r="78" spans="1:11" ht="40.5" x14ac:dyDescent="0.4">
      <c r="A78" s="52"/>
      <c r="B78" s="2" t="s">
        <v>14</v>
      </c>
      <c r="C78" s="3">
        <v>40</v>
      </c>
      <c r="D78" s="3">
        <v>39</v>
      </c>
      <c r="E78" s="3">
        <v>41</v>
      </c>
      <c r="F78" s="3">
        <v>36.000001399999995</v>
      </c>
    </row>
    <row r="79" spans="1:11" ht="27" x14ac:dyDescent="0.4">
      <c r="A79" s="52"/>
      <c r="B79" s="2" t="s">
        <v>15</v>
      </c>
      <c r="C79" s="3">
        <v>34</v>
      </c>
      <c r="D79" s="3">
        <v>37</v>
      </c>
      <c r="E79" s="3">
        <v>32</v>
      </c>
      <c r="F79" s="3">
        <v>33.000001300000001</v>
      </c>
    </row>
    <row r="80" spans="1:11" ht="27" x14ac:dyDescent="0.4">
      <c r="A80" s="52"/>
      <c r="B80" s="2" t="s">
        <v>16</v>
      </c>
      <c r="C80" s="3">
        <v>36.270000000000003</v>
      </c>
      <c r="D80" s="3">
        <v>34.31</v>
      </c>
      <c r="E80" s="3">
        <v>34.31</v>
      </c>
      <c r="F80" s="3">
        <v>29.411765899999999</v>
      </c>
    </row>
    <row r="81" spans="1:12" ht="27" x14ac:dyDescent="0.4">
      <c r="A81" s="52"/>
      <c r="B81" s="2" t="s">
        <v>17</v>
      </c>
      <c r="C81" s="3">
        <v>67</v>
      </c>
      <c r="D81" s="3">
        <v>63</v>
      </c>
      <c r="E81" s="3">
        <v>69</v>
      </c>
      <c r="F81" s="3">
        <v>67.000001699999999</v>
      </c>
    </row>
    <row r="82" spans="1:12" ht="27" x14ac:dyDescent="0.4">
      <c r="A82" s="52"/>
      <c r="B82" s="2" t="s">
        <v>18</v>
      </c>
      <c r="C82" s="3">
        <v>49.36</v>
      </c>
      <c r="D82" s="3">
        <v>48.51</v>
      </c>
      <c r="E82" s="3">
        <v>51.49</v>
      </c>
      <c r="F82" s="3">
        <v>50.212764700000001</v>
      </c>
    </row>
    <row r="83" spans="1:12" ht="27" x14ac:dyDescent="0.4">
      <c r="A83" s="52"/>
      <c r="B83" s="2" t="s">
        <v>19</v>
      </c>
      <c r="C83" s="3">
        <v>53.1</v>
      </c>
      <c r="D83" s="3">
        <v>48.97</v>
      </c>
      <c r="E83" s="3">
        <v>51.72</v>
      </c>
      <c r="F83" s="3">
        <v>53.793102500000003</v>
      </c>
    </row>
    <row r="84" spans="1:12" ht="27" x14ac:dyDescent="0.4">
      <c r="A84" s="52"/>
      <c r="B84" s="2" t="s">
        <v>20</v>
      </c>
      <c r="C84" s="3">
        <v>39.15</v>
      </c>
      <c r="D84" s="3">
        <v>39.950000000000003</v>
      </c>
      <c r="E84" s="3">
        <v>40.479999999999997</v>
      </c>
      <c r="F84" s="3">
        <v>38.624337300000001</v>
      </c>
    </row>
    <row r="85" spans="1:12" ht="27" x14ac:dyDescent="0.4">
      <c r="A85" s="52"/>
      <c r="B85" s="2" t="s">
        <v>21</v>
      </c>
      <c r="C85" s="3">
        <v>71.94</v>
      </c>
      <c r="D85" s="3">
        <v>72.58</v>
      </c>
      <c r="E85" s="3">
        <v>71.61</v>
      </c>
      <c r="F85" s="3">
        <v>72.580647499999998</v>
      </c>
    </row>
    <row r="86" spans="1:12" ht="27" x14ac:dyDescent="0.4">
      <c r="A86" s="52"/>
      <c r="B86" s="2" t="s">
        <v>22</v>
      </c>
      <c r="C86" s="3">
        <v>49.26</v>
      </c>
      <c r="D86" s="3">
        <v>48.77</v>
      </c>
      <c r="E86" s="3">
        <v>44.83</v>
      </c>
      <c r="F86" s="3">
        <v>52.216750400000002</v>
      </c>
    </row>
    <row r="87" spans="1:12" ht="40.5" x14ac:dyDescent="0.4">
      <c r="A87" s="52"/>
      <c r="B87" s="2" t="s">
        <v>23</v>
      </c>
      <c r="C87" s="3">
        <v>55</v>
      </c>
      <c r="D87" s="3">
        <v>57</v>
      </c>
      <c r="E87" s="3">
        <v>57</v>
      </c>
      <c r="F87" s="3">
        <v>50.999998999999995</v>
      </c>
    </row>
    <row r="88" spans="1:12" ht="27" x14ac:dyDescent="0.4">
      <c r="A88" s="52"/>
      <c r="B88" s="2" t="s">
        <v>24</v>
      </c>
      <c r="C88" s="3">
        <v>34.81</v>
      </c>
      <c r="D88" s="3">
        <v>30.74</v>
      </c>
      <c r="E88" s="3">
        <v>30.74</v>
      </c>
      <c r="F88" s="3">
        <v>34.814813700000002</v>
      </c>
    </row>
    <row r="89" spans="1:12" ht="27" x14ac:dyDescent="0.4">
      <c r="A89" s="52"/>
      <c r="B89" s="2" t="s">
        <v>25</v>
      </c>
      <c r="C89" s="3">
        <v>32.450000000000003</v>
      </c>
      <c r="D89" s="3">
        <v>33.11</v>
      </c>
      <c r="E89" s="3">
        <v>31.13</v>
      </c>
      <c r="F89" s="3">
        <v>35.0993365</v>
      </c>
      <c r="G89" s="12"/>
      <c r="H89" s="12"/>
      <c r="I89" s="12"/>
      <c r="J89" s="12"/>
      <c r="K89" s="12"/>
      <c r="L89" s="12"/>
    </row>
    <row r="90" spans="1:12" ht="27" x14ac:dyDescent="0.4">
      <c r="A90" s="52"/>
      <c r="B90" s="2" t="s">
        <v>26</v>
      </c>
      <c r="C90" s="3">
        <v>45.83</v>
      </c>
      <c r="D90" s="3">
        <v>37.96</v>
      </c>
      <c r="E90" s="3">
        <v>37.5</v>
      </c>
      <c r="F90" s="3">
        <v>49.537035799999998</v>
      </c>
      <c r="G90" s="9"/>
      <c r="H90" s="9"/>
      <c r="I90" s="9"/>
      <c r="J90" s="9"/>
      <c r="K90" s="9"/>
      <c r="L90" s="9"/>
    </row>
    <row r="91" spans="1:12" ht="27" x14ac:dyDescent="0.4">
      <c r="A91" s="52"/>
      <c r="B91" s="2" t="s">
        <v>27</v>
      </c>
      <c r="C91" s="3">
        <v>41.07</v>
      </c>
      <c r="D91" s="3">
        <v>35.71</v>
      </c>
      <c r="E91" s="3">
        <v>38.39</v>
      </c>
      <c r="F91" s="3">
        <v>43.75</v>
      </c>
      <c r="G91" s="9"/>
      <c r="H91" s="9"/>
      <c r="I91" s="9"/>
      <c r="J91" s="9"/>
      <c r="K91" s="9"/>
      <c r="L91" s="9"/>
    </row>
    <row r="92" spans="1:12" x14ac:dyDescent="0.4">
      <c r="A92" s="4" t="s">
        <v>28</v>
      </c>
      <c r="B92" s="4" t="s">
        <v>71</v>
      </c>
      <c r="C92" s="5">
        <f>AVERAGE(C73:C91)</f>
        <v>47.794736842105273</v>
      </c>
      <c r="D92" s="5">
        <f>AVERAGE(D73:D91)</f>
        <v>46.570000000000007</v>
      </c>
      <c r="E92" s="5">
        <f>AVERAGE(E73:E91)</f>
        <v>46.322105263157901</v>
      </c>
      <c r="F92" s="5">
        <f>AVERAGE(F73:F91)</f>
        <v>46.776526689473684</v>
      </c>
      <c r="G92" s="9"/>
      <c r="H92" s="9"/>
      <c r="I92" s="9"/>
      <c r="J92" s="9"/>
      <c r="K92" s="9"/>
      <c r="L92" s="9"/>
    </row>
    <row r="93" spans="1:12" x14ac:dyDescent="0.4">
      <c r="A93" s="49" t="s">
        <v>29</v>
      </c>
      <c r="B93" s="2" t="s">
        <v>30</v>
      </c>
      <c r="C93" s="3">
        <v>32.46</v>
      </c>
      <c r="D93" s="3">
        <v>27.19</v>
      </c>
      <c r="E93" s="3">
        <v>31.58</v>
      </c>
      <c r="F93" s="3">
        <v>30.701753500000002</v>
      </c>
      <c r="G93" s="9"/>
      <c r="H93" s="9"/>
      <c r="I93" s="9"/>
      <c r="J93" s="9"/>
      <c r="K93" s="9"/>
      <c r="L93" s="9"/>
    </row>
    <row r="94" spans="1:12" ht="27" x14ac:dyDescent="0.4">
      <c r="A94" s="49"/>
      <c r="B94" s="2" t="s">
        <v>31</v>
      </c>
      <c r="C94" s="3">
        <v>73.739999999999995</v>
      </c>
      <c r="D94" s="3">
        <v>66.16</v>
      </c>
      <c r="E94" s="3">
        <v>64.650000000000006</v>
      </c>
      <c r="F94" s="3">
        <v>67.17171669999999</v>
      </c>
      <c r="G94" s="9"/>
      <c r="H94" s="9"/>
      <c r="I94" s="9"/>
      <c r="J94" s="9"/>
      <c r="K94" s="9"/>
      <c r="L94" s="9"/>
    </row>
    <row r="95" spans="1:12" ht="27" x14ac:dyDescent="0.4">
      <c r="A95" s="49"/>
      <c r="B95" s="2" t="s">
        <v>32</v>
      </c>
      <c r="C95" s="3">
        <v>77.72</v>
      </c>
      <c r="D95" s="3">
        <v>77.2</v>
      </c>
      <c r="E95" s="3">
        <v>76.680000000000007</v>
      </c>
      <c r="F95" s="3">
        <v>63.212436400000001</v>
      </c>
      <c r="G95" s="9"/>
      <c r="H95" s="9"/>
      <c r="I95" s="9"/>
      <c r="J95" s="9"/>
      <c r="K95" s="9"/>
      <c r="L95" s="9"/>
    </row>
    <row r="96" spans="1:12" ht="40.5" x14ac:dyDescent="0.4">
      <c r="A96" s="49"/>
      <c r="B96" s="2" t="s">
        <v>33</v>
      </c>
      <c r="C96" s="3">
        <v>58.97</v>
      </c>
      <c r="D96" s="3">
        <v>54.36</v>
      </c>
      <c r="E96" s="3">
        <v>55.9</v>
      </c>
      <c r="F96" s="3">
        <v>58.717948200000002</v>
      </c>
      <c r="G96" s="9"/>
      <c r="H96" s="9"/>
      <c r="I96" s="9"/>
      <c r="J96" s="9"/>
      <c r="K96" s="9"/>
      <c r="L96" s="9"/>
    </row>
    <row r="97" spans="1:12" ht="40.5" x14ac:dyDescent="0.4">
      <c r="A97" s="49"/>
      <c r="B97" s="2" t="s">
        <v>34</v>
      </c>
      <c r="C97" s="3">
        <v>63.03</v>
      </c>
      <c r="D97" s="3">
        <v>60.5</v>
      </c>
      <c r="E97" s="3">
        <v>57.14</v>
      </c>
      <c r="F97" s="3">
        <v>68.067228799999995</v>
      </c>
      <c r="G97" s="9"/>
      <c r="H97" s="9"/>
      <c r="I97" s="9"/>
      <c r="J97" s="9"/>
      <c r="K97" s="9"/>
      <c r="L97" s="9"/>
    </row>
    <row r="98" spans="1:12" ht="27" x14ac:dyDescent="0.4">
      <c r="A98" s="49"/>
      <c r="B98" s="2" t="s">
        <v>35</v>
      </c>
      <c r="C98" s="3">
        <v>75.78</v>
      </c>
      <c r="D98" s="3">
        <v>73.94</v>
      </c>
      <c r="E98" s="3">
        <v>72.48</v>
      </c>
      <c r="F98" s="3">
        <v>69.908255299999993</v>
      </c>
      <c r="G98" s="9"/>
      <c r="H98" s="9"/>
      <c r="I98" s="9"/>
      <c r="J98" s="9"/>
      <c r="K98" s="9"/>
      <c r="L98" s="9"/>
    </row>
    <row r="99" spans="1:12" ht="27" x14ac:dyDescent="0.4">
      <c r="A99" s="49"/>
      <c r="B99" s="2" t="s">
        <v>36</v>
      </c>
      <c r="C99" s="3">
        <v>64.89</v>
      </c>
      <c r="D99" s="3">
        <v>66.41</v>
      </c>
      <c r="E99" s="3">
        <v>67.180000000000007</v>
      </c>
      <c r="F99" s="3">
        <v>51.145040999999999</v>
      </c>
      <c r="G99" s="9"/>
      <c r="H99" s="9"/>
      <c r="I99" s="9"/>
      <c r="J99" s="9"/>
      <c r="K99" s="9"/>
      <c r="L99" s="9"/>
    </row>
    <row r="100" spans="1:12" ht="27" x14ac:dyDescent="0.4">
      <c r="A100" s="49"/>
      <c r="B100" s="2" t="s">
        <v>37</v>
      </c>
      <c r="C100" s="3">
        <v>54.11</v>
      </c>
      <c r="D100" s="3">
        <v>54.58</v>
      </c>
      <c r="E100" s="3">
        <v>53.92</v>
      </c>
      <c r="F100" s="3">
        <v>50.816994899999997</v>
      </c>
      <c r="G100" s="9"/>
      <c r="H100" s="9"/>
      <c r="I100" s="9"/>
      <c r="J100" s="9"/>
      <c r="K100" s="9"/>
      <c r="L100" s="9"/>
    </row>
    <row r="101" spans="1:12" ht="27" x14ac:dyDescent="0.4">
      <c r="A101" s="49"/>
      <c r="B101" s="2" t="s">
        <v>38</v>
      </c>
      <c r="C101" s="3">
        <v>55.67</v>
      </c>
      <c r="D101" s="3">
        <v>63.64</v>
      </c>
      <c r="E101" s="3">
        <v>66.36</v>
      </c>
      <c r="F101" s="3">
        <v>60.909092399999999</v>
      </c>
      <c r="G101" s="9"/>
      <c r="H101" s="9"/>
      <c r="I101" s="9"/>
      <c r="J101" s="9"/>
      <c r="K101" s="9"/>
      <c r="L101" s="9"/>
    </row>
    <row r="102" spans="1:12" ht="27" x14ac:dyDescent="0.4">
      <c r="A102" s="49"/>
      <c r="B102" s="2" t="s">
        <v>39</v>
      </c>
      <c r="C102" s="3">
        <v>50.2</v>
      </c>
      <c r="D102" s="3">
        <v>51.43</v>
      </c>
      <c r="E102" s="3">
        <v>53.06</v>
      </c>
      <c r="F102" s="3">
        <v>54.285716999999998</v>
      </c>
      <c r="G102" s="9"/>
      <c r="H102" s="9"/>
      <c r="I102" s="9"/>
      <c r="J102" s="9"/>
      <c r="K102" s="9"/>
      <c r="L102" s="9"/>
    </row>
    <row r="103" spans="1:12" x14ac:dyDescent="0.4">
      <c r="A103" s="49"/>
      <c r="B103" s="2" t="s">
        <v>40</v>
      </c>
      <c r="C103" s="3">
        <v>71.64</v>
      </c>
      <c r="D103" s="3">
        <v>70.150000000000006</v>
      </c>
      <c r="E103" s="3">
        <v>70.150000000000006</v>
      </c>
      <c r="F103" s="3">
        <v>59.203982400000001</v>
      </c>
      <c r="G103" s="9"/>
      <c r="H103" s="9"/>
      <c r="I103" s="9"/>
      <c r="J103" s="9"/>
      <c r="K103" s="9"/>
      <c r="L103" s="9"/>
    </row>
    <row r="104" spans="1:12" ht="27" x14ac:dyDescent="0.4">
      <c r="A104" s="49"/>
      <c r="B104" s="2" t="s">
        <v>41</v>
      </c>
      <c r="C104" s="3">
        <v>73</v>
      </c>
      <c r="D104" s="3">
        <v>67</v>
      </c>
      <c r="E104" s="3">
        <v>72</v>
      </c>
      <c r="F104" s="3">
        <v>76.999998099999999</v>
      </c>
      <c r="G104" s="9"/>
      <c r="H104" s="9"/>
      <c r="I104" s="9"/>
      <c r="J104" s="9"/>
      <c r="K104" s="9"/>
      <c r="L104" s="9"/>
    </row>
    <row r="105" spans="1:12" x14ac:dyDescent="0.4">
      <c r="A105" s="4" t="s">
        <v>28</v>
      </c>
      <c r="B105" s="4" t="s">
        <v>71</v>
      </c>
      <c r="C105" s="5">
        <f>AVERAGE(C93:C104)</f>
        <v>62.600833333333327</v>
      </c>
      <c r="D105" s="5">
        <f>AVERAGE(D93:D104)</f>
        <v>61.04666666666666</v>
      </c>
      <c r="E105" s="5">
        <f>AVERAGE(E93:E104)</f>
        <v>61.758333333333333</v>
      </c>
      <c r="F105" s="5">
        <f>AVERAGE(F93:F104)</f>
        <v>59.261680391666658</v>
      </c>
      <c r="G105" s="9"/>
      <c r="H105" s="9"/>
      <c r="I105" s="9"/>
      <c r="J105" s="9"/>
      <c r="K105" s="9"/>
      <c r="L105" s="9"/>
    </row>
    <row r="106" spans="1:12" x14ac:dyDescent="0.4">
      <c r="A106" s="50" t="s">
        <v>42</v>
      </c>
      <c r="B106" s="2" t="s">
        <v>43</v>
      </c>
      <c r="C106" s="3">
        <v>38.1</v>
      </c>
      <c r="D106" s="3">
        <v>33.33</v>
      </c>
      <c r="E106" s="3">
        <v>36.51</v>
      </c>
      <c r="F106" s="3">
        <v>33.333334299999997</v>
      </c>
      <c r="G106" s="9"/>
      <c r="H106" s="9"/>
      <c r="I106" s="9"/>
      <c r="J106" s="9"/>
      <c r="K106" s="9"/>
      <c r="L106" s="9"/>
    </row>
    <row r="107" spans="1:12" ht="40.5" x14ac:dyDescent="0.4">
      <c r="A107" s="50"/>
      <c r="B107" s="2" t="s">
        <v>44</v>
      </c>
      <c r="C107" s="3">
        <v>68.48</v>
      </c>
      <c r="D107" s="3">
        <v>64.239999999999995</v>
      </c>
      <c r="E107" s="3">
        <v>63.64</v>
      </c>
      <c r="F107" s="3">
        <v>66.666668700000002</v>
      </c>
      <c r="G107" s="9"/>
      <c r="H107" s="9"/>
      <c r="I107" s="9"/>
      <c r="J107" s="9"/>
      <c r="K107" s="9"/>
      <c r="L107" s="9"/>
    </row>
    <row r="108" spans="1:12" ht="27" x14ac:dyDescent="0.4">
      <c r="A108" s="50"/>
      <c r="B108" s="2" t="s">
        <v>45</v>
      </c>
      <c r="C108" s="3">
        <v>70.59</v>
      </c>
      <c r="D108" s="3">
        <v>67.16</v>
      </c>
      <c r="E108" s="3">
        <v>67.650000000000006</v>
      </c>
      <c r="F108" s="3">
        <v>60.784316100000005</v>
      </c>
      <c r="G108" s="9"/>
      <c r="H108" s="9"/>
      <c r="I108" s="9"/>
      <c r="J108" s="9"/>
      <c r="K108" s="9"/>
      <c r="L108" s="9"/>
    </row>
    <row r="109" spans="1:12" ht="27" x14ac:dyDescent="0.4">
      <c r="A109" s="50"/>
      <c r="B109" s="2" t="s">
        <v>46</v>
      </c>
      <c r="C109" s="3">
        <v>75</v>
      </c>
      <c r="D109" s="3">
        <v>74.680000000000007</v>
      </c>
      <c r="E109" s="3">
        <v>74.260000000000005</v>
      </c>
      <c r="F109" s="3">
        <v>71.729958100000005</v>
      </c>
      <c r="G109" s="9"/>
      <c r="H109" s="9"/>
      <c r="I109" s="9"/>
      <c r="J109" s="9"/>
      <c r="K109" s="9"/>
      <c r="L109" s="9"/>
    </row>
    <row r="110" spans="1:12" ht="27" x14ac:dyDescent="0.4">
      <c r="A110" s="50"/>
      <c r="B110" s="2" t="s">
        <v>47</v>
      </c>
      <c r="C110" s="3">
        <v>71.069999999999993</v>
      </c>
      <c r="D110" s="3">
        <v>63.64</v>
      </c>
      <c r="E110" s="3">
        <v>67.77</v>
      </c>
      <c r="F110" s="3">
        <v>66.115701200000004</v>
      </c>
      <c r="G110" s="9"/>
      <c r="H110" s="9"/>
      <c r="I110" s="9"/>
      <c r="J110" s="9"/>
      <c r="K110" s="9"/>
      <c r="L110" s="9"/>
    </row>
    <row r="111" spans="1:12" x14ac:dyDescent="0.4">
      <c r="A111" s="50"/>
      <c r="B111" s="2" t="s">
        <v>48</v>
      </c>
      <c r="C111" s="3">
        <v>56.48</v>
      </c>
      <c r="D111" s="3">
        <v>57.41</v>
      </c>
      <c r="E111" s="3">
        <v>54.63</v>
      </c>
      <c r="F111" s="3">
        <v>56.481480599999998</v>
      </c>
      <c r="G111" s="9"/>
      <c r="H111" s="9"/>
      <c r="I111" s="9"/>
      <c r="J111" s="9"/>
      <c r="K111" s="9"/>
      <c r="L111" s="9"/>
    </row>
    <row r="112" spans="1:12" ht="27" x14ac:dyDescent="0.4">
      <c r="A112" s="50"/>
      <c r="B112" s="2" t="s">
        <v>49</v>
      </c>
      <c r="C112" s="3">
        <v>64.42</v>
      </c>
      <c r="D112" s="3">
        <v>65.03</v>
      </c>
      <c r="E112" s="3">
        <v>71.17</v>
      </c>
      <c r="F112" s="3">
        <v>68.098157599999993</v>
      </c>
      <c r="G112" s="9"/>
      <c r="H112" s="9"/>
      <c r="I112" s="9"/>
      <c r="J112" s="9"/>
      <c r="K112" s="9"/>
      <c r="L112" s="9"/>
    </row>
    <row r="113" spans="1:12" ht="27" x14ac:dyDescent="0.4">
      <c r="A113" s="50"/>
      <c r="B113" s="2" t="s">
        <v>50</v>
      </c>
      <c r="C113" s="3">
        <v>57.23</v>
      </c>
      <c r="D113" s="3">
        <v>55.2</v>
      </c>
      <c r="E113" s="3">
        <v>57.51</v>
      </c>
      <c r="F113" s="3">
        <v>60.115605600000002</v>
      </c>
      <c r="G113" s="9"/>
      <c r="H113" s="9"/>
      <c r="I113" s="9"/>
      <c r="J113" s="9"/>
      <c r="K113" s="9"/>
      <c r="L113" s="9"/>
    </row>
    <row r="114" spans="1:12" ht="27" x14ac:dyDescent="0.4">
      <c r="A114" s="50"/>
      <c r="B114" s="2" t="s">
        <v>51</v>
      </c>
      <c r="C114" s="3">
        <v>30.5</v>
      </c>
      <c r="D114" s="3">
        <v>30.61</v>
      </c>
      <c r="E114" s="3">
        <v>27.04</v>
      </c>
      <c r="F114" s="3">
        <v>28.826814899999999</v>
      </c>
      <c r="G114" s="9"/>
      <c r="H114" s="9"/>
      <c r="I114" s="9"/>
      <c r="J114" s="9"/>
      <c r="K114" s="9"/>
      <c r="L114" s="9"/>
    </row>
    <row r="115" spans="1:12" x14ac:dyDescent="0.4">
      <c r="A115" s="50"/>
      <c r="B115" s="2" t="s">
        <v>52</v>
      </c>
      <c r="C115" s="3">
        <v>57.23</v>
      </c>
      <c r="D115" s="3">
        <v>55.95</v>
      </c>
      <c r="E115" s="3">
        <v>57.88</v>
      </c>
      <c r="F115" s="3">
        <v>58.842444400000005</v>
      </c>
      <c r="G115" s="9"/>
      <c r="H115" s="9"/>
      <c r="I115" s="9"/>
      <c r="J115" s="9"/>
      <c r="K115" s="9"/>
      <c r="L115" s="9"/>
    </row>
    <row r="116" spans="1:12" x14ac:dyDescent="0.4">
      <c r="A116" s="50"/>
      <c r="B116" s="2" t="s">
        <v>53</v>
      </c>
      <c r="C116" s="3">
        <v>58.95</v>
      </c>
      <c r="D116" s="3">
        <v>60.19</v>
      </c>
      <c r="E116" s="3">
        <v>55.87</v>
      </c>
      <c r="F116" s="3">
        <v>60.185188099999998</v>
      </c>
      <c r="G116" s="9"/>
      <c r="H116" s="9"/>
      <c r="I116" s="9"/>
      <c r="J116" s="9"/>
      <c r="K116" s="9"/>
      <c r="L116" s="9"/>
    </row>
    <row r="117" spans="1:12" ht="27" x14ac:dyDescent="0.4">
      <c r="A117" s="50"/>
      <c r="B117" s="2" t="s">
        <v>54</v>
      </c>
      <c r="C117" s="3">
        <v>38.979999999999997</v>
      </c>
      <c r="D117" s="3">
        <v>40.22</v>
      </c>
      <c r="E117" s="3">
        <v>38.79</v>
      </c>
      <c r="F117" s="3">
        <v>41.069099299999998</v>
      </c>
      <c r="G117" s="9"/>
      <c r="H117" s="9"/>
      <c r="I117" s="9"/>
      <c r="J117" s="9"/>
      <c r="K117" s="9"/>
      <c r="L117" s="9"/>
    </row>
    <row r="118" spans="1:12" x14ac:dyDescent="0.4">
      <c r="A118" s="50"/>
      <c r="B118" s="2" t="s">
        <v>55</v>
      </c>
      <c r="C118" s="3">
        <v>74.27</v>
      </c>
      <c r="D118" s="3">
        <v>73.099999999999994</v>
      </c>
      <c r="E118" s="3">
        <v>73.680000000000007</v>
      </c>
      <c r="F118" s="3">
        <v>76.023393900000002</v>
      </c>
      <c r="G118" s="9"/>
      <c r="H118" s="9"/>
      <c r="I118" s="9"/>
      <c r="J118" s="9"/>
      <c r="K118" s="9"/>
      <c r="L118" s="9"/>
    </row>
    <row r="119" spans="1:12" x14ac:dyDescent="0.4">
      <c r="A119" s="4" t="s">
        <v>28</v>
      </c>
      <c r="B119" s="4" t="s">
        <v>71</v>
      </c>
      <c r="C119" s="5">
        <f>AVERAGE(C106:C118)</f>
        <v>58.561538461538476</v>
      </c>
      <c r="D119" s="5">
        <f>AVERAGE(D106:D118)</f>
        <v>56.98153846153847</v>
      </c>
      <c r="E119" s="5">
        <f>AVERAGE(E106:E118)</f>
        <v>57.415384615384603</v>
      </c>
      <c r="F119" s="5">
        <f>AVERAGE(F106:F118)</f>
        <v>57.559397138461534</v>
      </c>
      <c r="G119" s="9"/>
      <c r="H119" s="9"/>
      <c r="I119" s="9"/>
      <c r="J119" s="9"/>
      <c r="K119" s="9"/>
      <c r="L119" s="9"/>
    </row>
    <row r="120" spans="1:12" ht="27" x14ac:dyDescent="0.4">
      <c r="A120" s="51" t="s">
        <v>56</v>
      </c>
      <c r="B120" s="2" t="s">
        <v>57</v>
      </c>
      <c r="C120" s="3">
        <v>55</v>
      </c>
      <c r="D120" s="3">
        <v>55</v>
      </c>
      <c r="E120" s="3">
        <v>55</v>
      </c>
      <c r="F120" s="3">
        <v>51.999998099999999</v>
      </c>
      <c r="G120" s="9"/>
      <c r="H120" s="9"/>
      <c r="I120" s="9"/>
      <c r="J120" s="9"/>
      <c r="K120" s="9"/>
      <c r="L120" s="9"/>
    </row>
    <row r="121" spans="1:12" ht="27" x14ac:dyDescent="0.4">
      <c r="A121" s="51"/>
      <c r="B121" s="2" t="s">
        <v>58</v>
      </c>
      <c r="C121" s="3">
        <v>62.26</v>
      </c>
      <c r="D121" s="3">
        <v>56.98</v>
      </c>
      <c r="E121" s="3">
        <v>60.75</v>
      </c>
      <c r="F121" s="3">
        <v>52.075469500000004</v>
      </c>
      <c r="G121" s="9"/>
      <c r="H121" s="9"/>
      <c r="I121" s="9"/>
      <c r="J121" s="9"/>
      <c r="K121" s="9"/>
      <c r="L121" s="9"/>
    </row>
    <row r="122" spans="1:12" ht="27" x14ac:dyDescent="0.4">
      <c r="A122" s="51"/>
      <c r="B122" s="2" t="s">
        <v>59</v>
      </c>
      <c r="C122" s="3">
        <v>58.96</v>
      </c>
      <c r="D122" s="3">
        <v>52.02</v>
      </c>
      <c r="E122" s="3">
        <v>54.34</v>
      </c>
      <c r="F122" s="3">
        <v>47.976878299999996</v>
      </c>
      <c r="G122" s="9"/>
      <c r="H122" s="9"/>
      <c r="I122" s="9"/>
      <c r="J122" s="9"/>
      <c r="K122" s="9"/>
      <c r="L122" s="9"/>
    </row>
    <row r="123" spans="1:12" x14ac:dyDescent="0.4">
      <c r="A123" s="51"/>
      <c r="B123" s="2" t="s">
        <v>60</v>
      </c>
      <c r="C123" s="3">
        <v>36</v>
      </c>
      <c r="D123" s="3">
        <v>39</v>
      </c>
      <c r="E123" s="3">
        <v>37</v>
      </c>
      <c r="F123" s="3">
        <v>34.9999994</v>
      </c>
      <c r="G123" s="9"/>
      <c r="H123" s="9"/>
      <c r="I123" s="9"/>
      <c r="J123" s="9"/>
      <c r="K123" s="9"/>
      <c r="L123" s="9"/>
    </row>
    <row r="124" spans="1:12" x14ac:dyDescent="0.4">
      <c r="A124" s="51"/>
      <c r="B124" s="2" t="s">
        <v>61</v>
      </c>
      <c r="C124" s="3">
        <v>58.3</v>
      </c>
      <c r="D124" s="3">
        <v>53.81</v>
      </c>
      <c r="E124" s="3">
        <v>56.05</v>
      </c>
      <c r="F124" s="3">
        <v>56.0538113</v>
      </c>
      <c r="G124" s="9"/>
      <c r="H124" s="9"/>
      <c r="I124" s="9"/>
      <c r="J124" s="9"/>
      <c r="K124" s="9"/>
      <c r="L124" s="9"/>
    </row>
    <row r="125" spans="1:12" x14ac:dyDescent="0.4">
      <c r="A125" s="51"/>
      <c r="B125" s="2" t="s">
        <v>62</v>
      </c>
      <c r="C125" s="3">
        <v>68.930000000000007</v>
      </c>
      <c r="D125" s="3">
        <v>71.84</v>
      </c>
      <c r="E125" s="3">
        <v>72.819999999999993</v>
      </c>
      <c r="F125" s="3">
        <v>66.019415899999998</v>
      </c>
      <c r="G125" s="9"/>
      <c r="H125" s="9"/>
      <c r="I125" s="9"/>
      <c r="J125" s="9"/>
      <c r="K125" s="9"/>
      <c r="L125" s="9"/>
    </row>
    <row r="126" spans="1:12" x14ac:dyDescent="0.4">
      <c r="A126" s="51"/>
      <c r="B126" s="2" t="s">
        <v>63</v>
      </c>
      <c r="C126" s="3">
        <v>84.19</v>
      </c>
      <c r="D126" s="3">
        <v>80.77</v>
      </c>
      <c r="E126" s="3">
        <v>80.77</v>
      </c>
      <c r="F126" s="3">
        <v>76.9230783</v>
      </c>
      <c r="G126" s="9"/>
      <c r="H126" s="9"/>
      <c r="I126" s="9"/>
      <c r="J126" s="9"/>
      <c r="K126" s="9"/>
      <c r="L126" s="9"/>
    </row>
    <row r="127" spans="1:12" ht="27" x14ac:dyDescent="0.4">
      <c r="A127" s="51"/>
      <c r="B127" s="2" t="s">
        <v>64</v>
      </c>
      <c r="C127" s="3">
        <v>56</v>
      </c>
      <c r="D127" s="3">
        <v>54</v>
      </c>
      <c r="E127" s="3">
        <v>53</v>
      </c>
      <c r="F127" s="3">
        <v>54.000002100000003</v>
      </c>
      <c r="G127" s="9"/>
      <c r="H127" s="9"/>
      <c r="I127" s="9"/>
      <c r="J127" s="9"/>
      <c r="K127" s="9"/>
      <c r="L127" s="9"/>
    </row>
    <row r="128" spans="1:12" x14ac:dyDescent="0.4">
      <c r="A128" s="51"/>
      <c r="B128" s="2" t="s">
        <v>65</v>
      </c>
      <c r="C128" s="3">
        <v>72.8</v>
      </c>
      <c r="D128" s="3">
        <v>73.3</v>
      </c>
      <c r="E128" s="3">
        <v>71.14</v>
      </c>
      <c r="F128" s="3">
        <v>62.962961200000002</v>
      </c>
      <c r="G128" s="9"/>
      <c r="H128" s="9"/>
      <c r="I128" s="9"/>
      <c r="J128" s="9"/>
      <c r="K128" s="9"/>
      <c r="L128" s="9"/>
    </row>
    <row r="129" spans="1:12" x14ac:dyDescent="0.4">
      <c r="A129" s="51"/>
      <c r="B129" s="2" t="s">
        <v>66</v>
      </c>
      <c r="C129" s="3">
        <v>61.11</v>
      </c>
      <c r="D129" s="3">
        <v>64.38</v>
      </c>
      <c r="E129" s="3">
        <v>62.75</v>
      </c>
      <c r="F129" s="3">
        <v>58.823531900000006</v>
      </c>
      <c r="G129" s="9"/>
      <c r="H129" s="9"/>
      <c r="I129" s="9"/>
      <c r="J129" s="9"/>
      <c r="K129" s="9"/>
      <c r="L129" s="9"/>
    </row>
    <row r="130" spans="1:12" ht="27" x14ac:dyDescent="0.4">
      <c r="A130" s="51"/>
      <c r="B130" s="2" t="s">
        <v>67</v>
      </c>
      <c r="C130" s="3">
        <v>55.72</v>
      </c>
      <c r="D130" s="3">
        <v>40.07</v>
      </c>
      <c r="E130" s="3">
        <v>39.36</v>
      </c>
      <c r="F130" s="3">
        <v>41.134750799999999</v>
      </c>
      <c r="G130" s="9"/>
      <c r="H130" s="9"/>
      <c r="I130" s="9"/>
      <c r="J130" s="9"/>
      <c r="K130" s="9"/>
      <c r="L130" s="9"/>
    </row>
    <row r="131" spans="1:12" ht="27" x14ac:dyDescent="0.4">
      <c r="A131" s="51"/>
      <c r="B131" s="2" t="s">
        <v>68</v>
      </c>
      <c r="C131" s="3">
        <v>44.33</v>
      </c>
      <c r="D131" s="3">
        <v>46.69</v>
      </c>
      <c r="E131" s="3">
        <v>44.85</v>
      </c>
      <c r="F131" s="3">
        <v>51.470589600000004</v>
      </c>
      <c r="G131" s="9"/>
      <c r="H131" s="9"/>
      <c r="I131" s="9"/>
      <c r="J131" s="9"/>
      <c r="K131" s="9"/>
      <c r="L131" s="9"/>
    </row>
    <row r="132" spans="1:12" x14ac:dyDescent="0.4">
      <c r="A132" s="51"/>
      <c r="B132" s="2" t="s">
        <v>69</v>
      </c>
      <c r="C132" s="3">
        <v>53.61</v>
      </c>
      <c r="D132" s="3">
        <v>48.19</v>
      </c>
      <c r="E132" s="3">
        <v>48.19</v>
      </c>
      <c r="F132" s="3">
        <v>47.590359999999997</v>
      </c>
      <c r="G132" s="9"/>
      <c r="H132" s="9"/>
      <c r="I132" s="9"/>
      <c r="J132" s="9"/>
      <c r="K132" s="9"/>
      <c r="L132" s="9"/>
    </row>
    <row r="133" spans="1:12" x14ac:dyDescent="0.4">
      <c r="A133" s="6"/>
      <c r="B133" s="4" t="s">
        <v>71</v>
      </c>
      <c r="C133" s="14">
        <f>AVERAGE(C120:C132)</f>
        <v>59.016153846153848</v>
      </c>
      <c r="D133" s="5">
        <f>AVERAGE(D120:D132)</f>
        <v>56.619230769230768</v>
      </c>
      <c r="E133" s="5">
        <f>AVERAGE(E120:E132)</f>
        <v>56.616923076923072</v>
      </c>
      <c r="F133" s="5">
        <f>AVERAGE(F120:F132)</f>
        <v>54.002372800000003</v>
      </c>
      <c r="G133" s="9"/>
      <c r="H133" s="9"/>
      <c r="I133" s="9"/>
      <c r="J133" s="9"/>
      <c r="K133" s="9"/>
      <c r="L133" s="9"/>
    </row>
    <row r="134" spans="1:12" x14ac:dyDescent="0.4">
      <c r="A134" s="7"/>
      <c r="B134" s="8" t="s">
        <v>72</v>
      </c>
      <c r="C134" s="13">
        <f>AVERAGE(C73:C91,C93:C104,C106:C118,C120:C132)</f>
        <v>55.926666666666677</v>
      </c>
      <c r="D134" s="8">
        <f>AVERAGE(D73:D91,D93:D104,D106:D118,D120:D132)</f>
        <v>54.284210526315803</v>
      </c>
      <c r="E134" s="8">
        <f>AVERAGE(E73:E91,E93:E104,E106:E118,E120:E132)</f>
        <v>54.449824561403531</v>
      </c>
      <c r="F134" s="8">
        <f>AVERAGE(F73:F91,F93:F104,F106:F118,F120:F132)</f>
        <v>53.512231245614025</v>
      </c>
      <c r="G134" s="9"/>
      <c r="H134" s="9"/>
      <c r="I134" s="9"/>
      <c r="J134" s="9"/>
      <c r="K134" s="9"/>
      <c r="L134" s="9"/>
    </row>
    <row r="135" spans="1:12" x14ac:dyDescent="0.4">
      <c r="A135" s="19"/>
      <c r="B135" s="1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x14ac:dyDescent="0.4">
      <c r="D136" s="9"/>
      <c r="E136" s="9"/>
      <c r="F136" s="9"/>
      <c r="G136" s="9"/>
      <c r="H136" s="9"/>
      <c r="I136" s="9"/>
      <c r="J136" s="9"/>
      <c r="K136" s="9"/>
      <c r="L136" s="9"/>
    </row>
    <row r="137" spans="1:12" x14ac:dyDescent="0.4">
      <c r="D137" s="9"/>
      <c r="E137" s="9"/>
      <c r="F137" s="9"/>
      <c r="G137" s="9"/>
      <c r="H137" s="9"/>
      <c r="I137" s="9"/>
      <c r="J137" s="9"/>
      <c r="K137" s="9"/>
      <c r="L137" s="9"/>
    </row>
    <row r="138" spans="1:12" x14ac:dyDescent="0.4">
      <c r="D138" s="9"/>
      <c r="E138" s="9"/>
      <c r="F138" s="9"/>
      <c r="G138" s="9"/>
      <c r="H138" s="9"/>
      <c r="I138" s="9"/>
      <c r="J138" s="9"/>
      <c r="K138" s="9"/>
      <c r="L138" s="9"/>
    </row>
    <row r="139" spans="1:12" x14ac:dyDescent="0.4">
      <c r="D139" s="9"/>
      <c r="E139" s="9"/>
      <c r="F139" s="9"/>
      <c r="G139" s="9"/>
      <c r="H139" s="9"/>
      <c r="I139" s="9"/>
      <c r="J139" s="9"/>
      <c r="K139" s="9"/>
      <c r="L139" s="9"/>
    </row>
    <row r="140" spans="1:12" x14ac:dyDescent="0.4">
      <c r="D140" s="9"/>
      <c r="E140" s="9"/>
      <c r="F140" s="9"/>
      <c r="G140" s="9"/>
      <c r="H140" s="9"/>
      <c r="I140" s="9"/>
      <c r="J140" s="9"/>
      <c r="K140" s="9"/>
      <c r="L140" s="9"/>
    </row>
    <row r="141" spans="1:12" x14ac:dyDescent="0.4">
      <c r="D141" s="9"/>
      <c r="E141" s="9"/>
      <c r="F141" s="9"/>
      <c r="G141" s="9"/>
      <c r="H141" s="9"/>
      <c r="I141" s="9"/>
      <c r="J141" s="9"/>
      <c r="K141" s="9"/>
      <c r="L141" s="9"/>
    </row>
    <row r="142" spans="1:12" x14ac:dyDescent="0.4">
      <c r="D142" s="9"/>
      <c r="E142" s="9"/>
      <c r="F142" s="9"/>
      <c r="G142" s="9"/>
      <c r="H142" s="9"/>
      <c r="I142" s="9"/>
      <c r="J142" s="9"/>
      <c r="K142" s="9"/>
      <c r="L142" s="9"/>
    </row>
    <row r="143" spans="1:12" x14ac:dyDescent="0.4">
      <c r="D143" s="9"/>
      <c r="E143" s="9"/>
      <c r="F143" s="9"/>
      <c r="G143" s="9"/>
      <c r="H143" s="9"/>
      <c r="I143" s="9"/>
      <c r="J143" s="9"/>
      <c r="K143" s="9"/>
      <c r="L143" s="9"/>
    </row>
    <row r="144" spans="1:12" x14ac:dyDescent="0.4">
      <c r="D144" s="9"/>
      <c r="E144" s="9"/>
      <c r="F144" s="9"/>
      <c r="G144" s="9"/>
      <c r="H144" s="9"/>
      <c r="I144" s="9"/>
      <c r="J144" s="9"/>
      <c r="K144" s="9"/>
      <c r="L144" s="9"/>
    </row>
    <row r="145" spans="4:12" x14ac:dyDescent="0.4">
      <c r="D145" s="9"/>
      <c r="E145" s="9"/>
      <c r="F145" s="9"/>
      <c r="G145" s="9"/>
      <c r="H145" s="9"/>
      <c r="I145" s="9"/>
      <c r="J145" s="9"/>
      <c r="K145" s="9"/>
      <c r="L145" s="9"/>
    </row>
    <row r="146" spans="4:12" x14ac:dyDescent="0.4">
      <c r="D146" s="9"/>
      <c r="E146" s="9"/>
      <c r="F146" s="9"/>
      <c r="G146" s="9"/>
      <c r="H146" s="9"/>
      <c r="I146" s="9"/>
      <c r="J146" s="9"/>
      <c r="K146" s="9"/>
      <c r="L146" s="9"/>
    </row>
  </sheetData>
  <mergeCells count="8">
    <mergeCell ref="A93:A104"/>
    <mergeCell ref="A106:A118"/>
    <mergeCell ref="A120:A132"/>
    <mergeCell ref="A2:A20"/>
    <mergeCell ref="A49:A61"/>
    <mergeCell ref="A22:A33"/>
    <mergeCell ref="A35:A47"/>
    <mergeCell ref="A73:A9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EAA1-C214-4DE1-AB30-082DB9574DA2}">
  <dimension ref="A1:Q52"/>
  <sheetViews>
    <sheetView topLeftCell="A34" zoomScale="121" zoomScaleNormal="100" workbookViewId="0">
      <selection activeCell="B39" sqref="B39:I45"/>
    </sheetView>
  </sheetViews>
  <sheetFormatPr defaultRowHeight="13.9" x14ac:dyDescent="0.4"/>
  <cols>
    <col min="1" max="1" width="14" bestFit="1" customWidth="1"/>
    <col min="2" max="2" width="21.3984375" customWidth="1"/>
    <col min="3" max="3" width="11.796875" customWidth="1"/>
    <col min="4" max="4" width="10.265625" customWidth="1"/>
    <col min="5" max="5" width="12.3984375" customWidth="1"/>
    <col min="6" max="6" width="12" customWidth="1"/>
    <col min="7" max="7" width="11.19921875" customWidth="1"/>
    <col min="8" max="8" width="14.9296875" customWidth="1"/>
    <col min="9" max="9" width="20.59765625" bestFit="1" customWidth="1"/>
    <col min="10" max="13" width="10.06640625" bestFit="1" customWidth="1"/>
    <col min="14" max="15" width="11.265625" bestFit="1" customWidth="1"/>
    <col min="16" max="16" width="9.9296875" customWidth="1"/>
  </cols>
  <sheetData>
    <row r="1" spans="1:17" ht="27.75" x14ac:dyDescent="0.4">
      <c r="A1" s="15" t="s">
        <v>76</v>
      </c>
      <c r="B1" s="15" t="s">
        <v>77</v>
      </c>
      <c r="C1" s="15" t="s">
        <v>78</v>
      </c>
      <c r="D1" s="15" t="s">
        <v>79</v>
      </c>
      <c r="E1" s="15" t="s">
        <v>80</v>
      </c>
      <c r="F1" s="15" t="s">
        <v>81</v>
      </c>
      <c r="G1" s="15" t="s">
        <v>82</v>
      </c>
      <c r="H1" s="15" t="s">
        <v>83</v>
      </c>
      <c r="I1" s="15" t="s">
        <v>75</v>
      </c>
    </row>
    <row r="2" spans="1:17" x14ac:dyDescent="0.4">
      <c r="A2" s="53" t="s">
        <v>84</v>
      </c>
      <c r="B2" s="16" t="s">
        <v>84</v>
      </c>
      <c r="C2" s="17">
        <v>71.900000000000006</v>
      </c>
      <c r="D2" s="17">
        <v>59.6</v>
      </c>
      <c r="E2" s="17">
        <v>55.7</v>
      </c>
      <c r="F2" s="17">
        <v>63.1</v>
      </c>
      <c r="G2" s="17">
        <v>41.1</v>
      </c>
      <c r="H2" s="17">
        <v>64.8</v>
      </c>
      <c r="I2" s="17">
        <v>59.3</v>
      </c>
    </row>
    <row r="3" spans="1:17" x14ac:dyDescent="0.4">
      <c r="A3" s="53"/>
      <c r="B3" s="16" t="s">
        <v>85</v>
      </c>
      <c r="C3" s="17">
        <v>78.3</v>
      </c>
      <c r="D3" s="17">
        <v>57.1</v>
      </c>
      <c r="E3" s="17">
        <v>51.6</v>
      </c>
      <c r="F3" s="18">
        <v>89</v>
      </c>
      <c r="G3" s="17">
        <v>34.9</v>
      </c>
      <c r="H3" s="17">
        <v>55.8</v>
      </c>
      <c r="I3" s="17">
        <v>61.1</v>
      </c>
    </row>
    <row r="4" spans="1:17" x14ac:dyDescent="0.4">
      <c r="A4" s="53" t="s">
        <v>86</v>
      </c>
      <c r="B4" s="16" t="s">
        <v>87</v>
      </c>
      <c r="C4" s="17">
        <v>89.1</v>
      </c>
      <c r="D4" s="17">
        <v>51</v>
      </c>
      <c r="E4" s="17">
        <v>64</v>
      </c>
      <c r="F4" s="17">
        <v>73</v>
      </c>
      <c r="G4" s="17">
        <v>67</v>
      </c>
      <c r="H4" s="17">
        <v>47</v>
      </c>
      <c r="I4" s="17">
        <v>65.2</v>
      </c>
    </row>
    <row r="5" spans="1:17" x14ac:dyDescent="0.4">
      <c r="A5" s="53"/>
      <c r="B5" s="16" t="s">
        <v>88</v>
      </c>
      <c r="C5" s="17">
        <v>57.9</v>
      </c>
      <c r="D5" s="17">
        <v>38.4</v>
      </c>
      <c r="E5" s="18">
        <v>81.599999999999994</v>
      </c>
      <c r="F5" s="17">
        <v>75.2</v>
      </c>
      <c r="G5" s="18">
        <v>71.099999999999994</v>
      </c>
      <c r="H5" s="17">
        <v>66.3</v>
      </c>
      <c r="I5" s="17">
        <v>65.099999999999994</v>
      </c>
    </row>
    <row r="6" spans="1:17" x14ac:dyDescent="0.4">
      <c r="A6" s="53"/>
      <c r="B6" s="16" t="s">
        <v>89</v>
      </c>
      <c r="C6" s="17">
        <v>55</v>
      </c>
      <c r="D6" s="17">
        <v>49</v>
      </c>
      <c r="E6" s="17">
        <v>76</v>
      </c>
      <c r="F6" s="17">
        <v>82</v>
      </c>
      <c r="G6" s="17">
        <v>58</v>
      </c>
      <c r="H6" s="17">
        <v>52.2</v>
      </c>
      <c r="I6" s="17">
        <v>62</v>
      </c>
    </row>
    <row r="7" spans="1:17" ht="27.75" customHeight="1" x14ac:dyDescent="0.4">
      <c r="A7" s="53" t="s">
        <v>90</v>
      </c>
      <c r="B7" s="16" t="s">
        <v>91</v>
      </c>
      <c r="C7" s="17" t="s">
        <v>92</v>
      </c>
      <c r="D7" s="17" t="s">
        <v>93</v>
      </c>
      <c r="E7" s="17" t="s">
        <v>94</v>
      </c>
      <c r="F7" s="17" t="s">
        <v>95</v>
      </c>
      <c r="G7" s="17" t="s">
        <v>96</v>
      </c>
      <c r="H7" s="17" t="s">
        <v>97</v>
      </c>
      <c r="I7" s="17">
        <v>59.4</v>
      </c>
    </row>
    <row r="8" spans="1:17" x14ac:dyDescent="0.4">
      <c r="A8" s="53"/>
      <c r="B8" s="16" t="s">
        <v>98</v>
      </c>
      <c r="C8" s="17" t="s">
        <v>99</v>
      </c>
      <c r="D8" s="17" t="s">
        <v>100</v>
      </c>
      <c r="E8" s="17" t="s">
        <v>101</v>
      </c>
      <c r="F8" s="17" t="s">
        <v>102</v>
      </c>
      <c r="G8" s="17" t="s">
        <v>103</v>
      </c>
      <c r="H8" s="17" t="s">
        <v>104</v>
      </c>
      <c r="I8" s="17">
        <v>58.2</v>
      </c>
    </row>
    <row r="9" spans="1:17" x14ac:dyDescent="0.4">
      <c r="A9" s="53"/>
      <c r="B9" s="16" t="s">
        <v>4</v>
      </c>
      <c r="C9" s="17" t="s">
        <v>105</v>
      </c>
      <c r="D9" s="17" t="s">
        <v>106</v>
      </c>
      <c r="E9" s="17" t="s">
        <v>107</v>
      </c>
      <c r="F9" s="17" t="s">
        <v>108</v>
      </c>
      <c r="G9" s="17" t="s">
        <v>109</v>
      </c>
      <c r="H9" s="17" t="s">
        <v>110</v>
      </c>
      <c r="I9" s="17">
        <v>70.099999999999994</v>
      </c>
    </row>
    <row r="10" spans="1:17" x14ac:dyDescent="0.4">
      <c r="A10" s="53"/>
      <c r="B10" s="16" t="s">
        <v>5</v>
      </c>
      <c r="C10" s="17" t="s">
        <v>111</v>
      </c>
      <c r="D10" s="17" t="s">
        <v>112</v>
      </c>
      <c r="E10" s="17" t="s">
        <v>113</v>
      </c>
      <c r="F10" s="17" t="s">
        <v>114</v>
      </c>
      <c r="G10" s="17" t="s">
        <v>115</v>
      </c>
      <c r="H10" s="17" t="s">
        <v>116</v>
      </c>
      <c r="I10" s="17">
        <v>64</v>
      </c>
    </row>
    <row r="11" spans="1:17" x14ac:dyDescent="0.4">
      <c r="A11" s="53"/>
      <c r="B11" s="16" t="s">
        <v>117</v>
      </c>
      <c r="C11" s="17" t="s">
        <v>118</v>
      </c>
      <c r="D11" s="17" t="s">
        <v>119</v>
      </c>
      <c r="E11" s="17" t="s">
        <v>120</v>
      </c>
      <c r="F11" s="17" t="s">
        <v>121</v>
      </c>
      <c r="G11" s="17" t="s">
        <v>122</v>
      </c>
      <c r="H11" s="17" t="s">
        <v>123</v>
      </c>
      <c r="I11" s="17">
        <v>61.3</v>
      </c>
    </row>
    <row r="12" spans="1:17" x14ac:dyDescent="0.4">
      <c r="A12" s="53"/>
      <c r="B12" s="15" t="s">
        <v>124</v>
      </c>
      <c r="C12" s="18" t="s">
        <v>125</v>
      </c>
      <c r="D12" s="18" t="s">
        <v>126</v>
      </c>
      <c r="E12" s="17" t="s">
        <v>127</v>
      </c>
      <c r="F12" s="17" t="s">
        <v>128</v>
      </c>
      <c r="G12" s="17" t="s">
        <v>129</v>
      </c>
      <c r="H12" s="18" t="s">
        <v>130</v>
      </c>
      <c r="I12" s="18">
        <v>76.400000000000006</v>
      </c>
    </row>
    <row r="13" spans="1:17" x14ac:dyDescent="0.4">
      <c r="A13" s="53"/>
      <c r="B13" s="25" t="s">
        <v>142</v>
      </c>
      <c r="C13" s="26">
        <v>88</v>
      </c>
      <c r="D13" s="26">
        <v>72.5</v>
      </c>
      <c r="E13" s="26">
        <v>80.900000000000006</v>
      </c>
      <c r="F13" s="26">
        <v>80</v>
      </c>
      <c r="G13" s="26">
        <v>61.2</v>
      </c>
      <c r="H13" s="26">
        <v>73.099999999999994</v>
      </c>
      <c r="I13" s="26">
        <f>AVERAGE(C13:H13)</f>
        <v>75.949999999999989</v>
      </c>
      <c r="J13" s="15" t="s">
        <v>74</v>
      </c>
      <c r="K13" s="16">
        <v>93.1</v>
      </c>
      <c r="L13" s="16">
        <v>73.5</v>
      </c>
      <c r="M13" s="16">
        <v>79.400000000000006</v>
      </c>
      <c r="N13" s="16">
        <v>77.099999999999994</v>
      </c>
      <c r="O13" s="16">
        <v>62.7</v>
      </c>
      <c r="P13" s="16">
        <v>78.7</v>
      </c>
      <c r="Q13" s="26">
        <f>AVERAGE(K13:P13)</f>
        <v>77.416666666666671</v>
      </c>
    </row>
    <row r="14" spans="1:17" x14ac:dyDescent="0.4">
      <c r="A14" s="19"/>
      <c r="B14" s="24" t="s">
        <v>131</v>
      </c>
      <c r="C14" s="17">
        <v>92.8</v>
      </c>
      <c r="D14" s="17">
        <v>76</v>
      </c>
      <c r="E14" s="17">
        <v>81.2</v>
      </c>
      <c r="F14" s="17">
        <v>77.400000000000006</v>
      </c>
      <c r="G14" s="17">
        <v>63.9</v>
      </c>
      <c r="H14" s="17">
        <v>71.400000000000006</v>
      </c>
      <c r="I14" s="17">
        <f>AVERAGE(C14:H14)</f>
        <v>77.11666666666666</v>
      </c>
    </row>
    <row r="15" spans="1:17" x14ac:dyDescent="0.4">
      <c r="A15" s="19"/>
      <c r="B15" s="25" t="s">
        <v>138</v>
      </c>
      <c r="C15" s="17">
        <v>92.8</v>
      </c>
      <c r="D15" s="17">
        <v>73.8</v>
      </c>
      <c r="E15" s="17">
        <v>82.7</v>
      </c>
      <c r="F15" s="17">
        <v>79.3</v>
      </c>
      <c r="G15" s="17">
        <v>67</v>
      </c>
      <c r="H15" s="17">
        <v>74</v>
      </c>
      <c r="I15" s="17">
        <v>78.3</v>
      </c>
    </row>
    <row r="16" spans="1:17" x14ac:dyDescent="0.4">
      <c r="A16" s="19"/>
      <c r="B16" s="24" t="s">
        <v>137</v>
      </c>
      <c r="C16" s="23" t="str">
        <f t="shared" ref="C16:I16" si="0">TEXT(AVERAGE(C13:C15),"0.0") &amp; "(±" &amp; TEXT(_xlfn.STDEV.S(C13:C15),"0.0") &amp; ")"</f>
        <v>91.2(±2.8)</v>
      </c>
      <c r="D16" s="23" t="str">
        <f t="shared" si="0"/>
        <v>74.1(±1.8)</v>
      </c>
      <c r="E16" s="19" t="str">
        <f t="shared" si="0"/>
        <v>81.6(±1.0)</v>
      </c>
      <c r="F16" s="19" t="str">
        <f t="shared" si="0"/>
        <v>78.9(±1.3)</v>
      </c>
      <c r="G16" s="19" t="str">
        <f t="shared" si="0"/>
        <v>64.0(±2.9)</v>
      </c>
      <c r="H16" s="23" t="str">
        <f t="shared" si="0"/>
        <v>72.8(±1.3)</v>
      </c>
      <c r="I16" s="23" t="str">
        <f t="shared" si="0"/>
        <v>77.1(±1.2)</v>
      </c>
    </row>
    <row r="17" spans="1:9" x14ac:dyDescent="0.4">
      <c r="A17" s="19"/>
      <c r="B17" s="43" t="s">
        <v>220</v>
      </c>
      <c r="C17" s="43" t="s">
        <v>221</v>
      </c>
      <c r="D17" s="43" t="s">
        <v>222</v>
      </c>
      <c r="E17" s="43" t="s">
        <v>223</v>
      </c>
      <c r="F17" s="43" t="s">
        <v>224</v>
      </c>
      <c r="G17" s="43" t="s">
        <v>225</v>
      </c>
      <c r="H17" s="43" t="s">
        <v>226</v>
      </c>
      <c r="I17" s="43">
        <v>78.7</v>
      </c>
    </row>
    <row r="20" spans="1:9" x14ac:dyDescent="0.4">
      <c r="B20" s="19"/>
      <c r="C20" s="15" t="s">
        <v>78</v>
      </c>
      <c r="D20" s="15" t="s">
        <v>79</v>
      </c>
      <c r="E20" s="15" t="s">
        <v>80</v>
      </c>
      <c r="F20" s="15" t="s">
        <v>81</v>
      </c>
      <c r="G20" s="15" t="s">
        <v>82</v>
      </c>
      <c r="H20" s="15" t="s">
        <v>83</v>
      </c>
      <c r="I20" s="15" t="s">
        <v>75</v>
      </c>
    </row>
    <row r="21" spans="1:9" x14ac:dyDescent="0.4">
      <c r="B21" s="25" t="s">
        <v>140</v>
      </c>
      <c r="C21" s="17">
        <v>92.8</v>
      </c>
      <c r="D21" s="17">
        <v>73.8</v>
      </c>
      <c r="E21" s="17">
        <v>82.7</v>
      </c>
      <c r="F21" s="17">
        <v>79.3</v>
      </c>
      <c r="G21" s="17">
        <v>67</v>
      </c>
      <c r="H21" s="17">
        <v>74</v>
      </c>
      <c r="I21" s="17">
        <v>78.3</v>
      </c>
    </row>
    <row r="22" spans="1:9" x14ac:dyDescent="0.4">
      <c r="B22" s="25" t="s">
        <v>139</v>
      </c>
      <c r="C22" s="26">
        <v>90.710999999999999</v>
      </c>
      <c r="D22" s="26">
        <v>66.912000000000006</v>
      </c>
      <c r="E22" s="26">
        <v>81.588000000000008</v>
      </c>
      <c r="F22" s="26">
        <v>78.527999999999992</v>
      </c>
      <c r="G22" s="26">
        <v>68.364999999999995</v>
      </c>
      <c r="H22" s="26">
        <v>71.580999999999989</v>
      </c>
      <c r="I22" s="26">
        <f>AVERAGE(C22:H22)</f>
        <v>76.280833333333348</v>
      </c>
    </row>
    <row r="23" spans="1:9" x14ac:dyDescent="0.4">
      <c r="B23" s="25" t="s">
        <v>141</v>
      </c>
      <c r="C23" s="26">
        <v>87.959000000000003</v>
      </c>
      <c r="D23" s="26">
        <v>73.039000000000001</v>
      </c>
      <c r="E23" s="26">
        <v>80.866</v>
      </c>
      <c r="F23" s="26">
        <v>79.993000000000009</v>
      </c>
      <c r="G23" s="26">
        <v>66.897999999999996</v>
      </c>
      <c r="H23" s="26">
        <v>73.125</v>
      </c>
      <c r="I23" s="26">
        <f>AVERAGE(C23:H23)</f>
        <v>76.98</v>
      </c>
    </row>
    <row r="24" spans="1:9" x14ac:dyDescent="0.4">
      <c r="B24" s="25" t="s">
        <v>142</v>
      </c>
      <c r="C24" s="26">
        <v>88</v>
      </c>
      <c r="D24" s="26">
        <v>72.5</v>
      </c>
      <c r="E24" s="26">
        <v>80.900000000000006</v>
      </c>
      <c r="F24" s="26">
        <v>80</v>
      </c>
      <c r="G24" s="26">
        <v>61.2</v>
      </c>
      <c r="H24" s="26">
        <v>73.099999999999994</v>
      </c>
      <c r="I24" s="26">
        <f>AVERAGE(C24:H24)</f>
        <v>75.949999999999989</v>
      </c>
    </row>
    <row r="25" spans="1:9" x14ac:dyDescent="0.4">
      <c r="B25" s="25" t="s">
        <v>136</v>
      </c>
      <c r="C25" s="17">
        <v>89.9</v>
      </c>
      <c r="D25" s="17">
        <v>76</v>
      </c>
      <c r="E25" s="17">
        <v>81.2</v>
      </c>
      <c r="F25" s="17">
        <v>76.099999999999994</v>
      </c>
      <c r="G25" s="17">
        <v>66.400000000000006</v>
      </c>
      <c r="H25" s="17">
        <v>66.900000000000006</v>
      </c>
      <c r="I25" s="17">
        <f>AVERAGE(C25:H25)</f>
        <v>76.083333333333329</v>
      </c>
    </row>
    <row r="26" spans="1:9" x14ac:dyDescent="0.4">
      <c r="B26" s="19"/>
      <c r="C26" s="15" t="s">
        <v>78</v>
      </c>
      <c r="D26" s="15" t="s">
        <v>79</v>
      </c>
      <c r="E26" s="15" t="s">
        <v>80</v>
      </c>
      <c r="F26" s="15" t="s">
        <v>81</v>
      </c>
      <c r="G26" s="15" t="s">
        <v>82</v>
      </c>
      <c r="H26" s="15" t="s">
        <v>83</v>
      </c>
      <c r="I26" s="15" t="s">
        <v>75</v>
      </c>
    </row>
    <row r="27" spans="1:9" x14ac:dyDescent="0.4">
      <c r="B27" s="19"/>
      <c r="C27" s="19"/>
      <c r="D27" s="19"/>
      <c r="E27" s="19"/>
      <c r="F27" s="19"/>
      <c r="G27" s="19"/>
      <c r="H27" s="19"/>
      <c r="I27" s="19"/>
    </row>
    <row r="28" spans="1:9" x14ac:dyDescent="0.4">
      <c r="B28" s="19"/>
      <c r="C28" s="15" t="s">
        <v>78</v>
      </c>
      <c r="D28" s="15" t="s">
        <v>79</v>
      </c>
      <c r="E28" s="15" t="s">
        <v>80</v>
      </c>
      <c r="F28" s="15" t="s">
        <v>81</v>
      </c>
      <c r="G28" s="15" t="s">
        <v>82</v>
      </c>
      <c r="H28" s="15" t="s">
        <v>83</v>
      </c>
      <c r="I28" s="15" t="s">
        <v>75</v>
      </c>
    </row>
    <row r="29" spans="1:9" x14ac:dyDescent="0.4">
      <c r="B29" s="25" t="s">
        <v>141</v>
      </c>
      <c r="C29" s="26">
        <v>87.959000000000003</v>
      </c>
      <c r="D29" s="26">
        <v>73.039000000000001</v>
      </c>
      <c r="E29" s="26">
        <v>80.866</v>
      </c>
      <c r="F29" s="26">
        <v>79.993000000000009</v>
      </c>
      <c r="G29" s="26">
        <v>66.897999999999996</v>
      </c>
      <c r="H29" s="26">
        <v>73.125</v>
      </c>
      <c r="I29" s="26">
        <f>AVERAGE(C29:H29)</f>
        <v>76.98</v>
      </c>
    </row>
    <row r="30" spans="1:9" x14ac:dyDescent="0.4">
      <c r="B30" s="25" t="s">
        <v>142</v>
      </c>
      <c r="C30" s="26">
        <v>88</v>
      </c>
      <c r="D30" s="26">
        <v>72.5</v>
      </c>
      <c r="E30" s="26">
        <v>80.900000000000006</v>
      </c>
      <c r="F30" s="26">
        <v>80</v>
      </c>
      <c r="G30" s="26">
        <v>61.2</v>
      </c>
      <c r="H30" s="26">
        <v>73.099999999999994</v>
      </c>
      <c r="I30" s="26">
        <f>AVERAGE(C30:H30)</f>
        <v>75.949999999999989</v>
      </c>
    </row>
    <row r="39" spans="1:9" ht="27.75" x14ac:dyDescent="0.4">
      <c r="A39" s="15" t="s">
        <v>76</v>
      </c>
      <c r="B39" s="15" t="s">
        <v>77</v>
      </c>
      <c r="C39" s="15" t="s">
        <v>78</v>
      </c>
      <c r="D39" s="15" t="s">
        <v>79</v>
      </c>
      <c r="E39" s="15" t="s">
        <v>80</v>
      </c>
      <c r="F39" s="15" t="s">
        <v>81</v>
      </c>
      <c r="G39" s="15" t="s">
        <v>82</v>
      </c>
      <c r="H39" s="15" t="s">
        <v>83</v>
      </c>
      <c r="I39" s="15" t="s">
        <v>75</v>
      </c>
    </row>
    <row r="40" spans="1:9" x14ac:dyDescent="0.4">
      <c r="B40" s="43" t="s">
        <v>220</v>
      </c>
      <c r="C40" s="43" t="s">
        <v>221</v>
      </c>
      <c r="D40" s="43" t="s">
        <v>222</v>
      </c>
      <c r="E40" s="43" t="s">
        <v>223</v>
      </c>
      <c r="F40" s="43" t="s">
        <v>224</v>
      </c>
      <c r="G40" s="43" t="s">
        <v>225</v>
      </c>
      <c r="H40" s="43" t="s">
        <v>226</v>
      </c>
      <c r="I40" s="43">
        <v>78.7</v>
      </c>
    </row>
    <row r="41" spans="1:9" ht="27" x14ac:dyDescent="0.4">
      <c r="B41" s="26" t="s">
        <v>271</v>
      </c>
      <c r="C41" s="26" t="s">
        <v>272</v>
      </c>
      <c r="D41" s="26" t="s">
        <v>273</v>
      </c>
      <c r="E41" s="26" t="s">
        <v>274</v>
      </c>
      <c r="F41" s="26" t="s">
        <v>275</v>
      </c>
      <c r="G41" s="26" t="s">
        <v>276</v>
      </c>
      <c r="H41" s="26" t="s">
        <v>270</v>
      </c>
      <c r="I41" s="26">
        <v>76.7</v>
      </c>
    </row>
    <row r="42" spans="1:9" x14ac:dyDescent="0.4">
      <c r="B42" s="25" t="s">
        <v>142</v>
      </c>
      <c r="C42" s="26">
        <v>88</v>
      </c>
      <c r="D42" s="26">
        <v>72.5</v>
      </c>
      <c r="E42" s="26">
        <v>80.900000000000006</v>
      </c>
      <c r="F42" s="26">
        <v>80</v>
      </c>
      <c r="G42" s="26">
        <v>61.2</v>
      </c>
      <c r="H42" s="26">
        <v>73.099999999999994</v>
      </c>
      <c r="I42" s="26">
        <f>AVERAGE(C42:H42)</f>
        <v>75.949999999999989</v>
      </c>
    </row>
    <row r="43" spans="1:9" x14ac:dyDescent="0.4">
      <c r="B43" s="24" t="s">
        <v>131</v>
      </c>
      <c r="C43" s="17">
        <v>92.8</v>
      </c>
      <c r="D43" s="17">
        <v>76</v>
      </c>
      <c r="E43" s="17">
        <v>81.2</v>
      </c>
      <c r="F43" s="17">
        <v>77.400000000000006</v>
      </c>
      <c r="G43" s="17">
        <v>63.9</v>
      </c>
      <c r="H43" s="17">
        <v>71.400000000000006</v>
      </c>
      <c r="I43" s="17">
        <f>AVERAGE(C43:H43)</f>
        <v>77.11666666666666</v>
      </c>
    </row>
    <row r="44" spans="1:9" x14ac:dyDescent="0.4">
      <c r="B44" s="25" t="s">
        <v>138</v>
      </c>
      <c r="C44" s="17">
        <v>92.8</v>
      </c>
      <c r="D44" s="17">
        <v>73.8</v>
      </c>
      <c r="E44" s="17">
        <v>82.7</v>
      </c>
      <c r="F44" s="17">
        <v>79.3</v>
      </c>
      <c r="G44" s="17">
        <v>67</v>
      </c>
      <c r="H44" s="17">
        <v>74</v>
      </c>
      <c r="I44" s="17">
        <v>78.3</v>
      </c>
    </row>
    <row r="45" spans="1:9" x14ac:dyDescent="0.4">
      <c r="B45" s="24" t="s">
        <v>137</v>
      </c>
      <c r="C45" s="23" t="str">
        <f t="shared" ref="C45:H45" si="1">TEXT(AVERAGE(C42:C44),"0.0") &amp; "(±" &amp; TEXT(_xlfn.STDEV.S(C42:C44),"0.0") &amp; ")"</f>
        <v>91.2(±2.8)</v>
      </c>
      <c r="D45" s="23" t="str">
        <f t="shared" si="1"/>
        <v>74.1(±1.8)</v>
      </c>
      <c r="E45" s="19" t="str">
        <f t="shared" si="1"/>
        <v>81.6(±1.0)</v>
      </c>
      <c r="F45" s="19" t="str">
        <f t="shared" si="1"/>
        <v>78.9(±1.3)</v>
      </c>
      <c r="G45" s="19" t="str">
        <f t="shared" si="1"/>
        <v>64.0(±2.9)</v>
      </c>
      <c r="H45" s="23" t="str">
        <f t="shared" si="1"/>
        <v>72.8(±1.3)</v>
      </c>
      <c r="I45" s="23" t="str">
        <f>TEXT(AVERAGE(I42:I44),"0.0") &amp; "(±" &amp; TEXT(_xlfn.STDEV.S(I42:I44),"0.0") &amp; ")"</f>
        <v>77.1(±1.2)</v>
      </c>
    </row>
    <row r="50" spans="2:9" x14ac:dyDescent="0.4">
      <c r="B50" s="26" t="s">
        <v>77</v>
      </c>
      <c r="C50" s="26" t="s">
        <v>78</v>
      </c>
      <c r="D50" s="26" t="s">
        <v>79</v>
      </c>
      <c r="E50" s="26" t="s">
        <v>80</v>
      </c>
      <c r="F50" s="26" t="s">
        <v>81</v>
      </c>
      <c r="G50" s="26" t="s">
        <v>82</v>
      </c>
      <c r="H50" s="26" t="s">
        <v>83</v>
      </c>
      <c r="I50" s="26" t="s">
        <v>75</v>
      </c>
    </row>
    <row r="51" spans="2:9" x14ac:dyDescent="0.4">
      <c r="B51" s="26" t="s">
        <v>220</v>
      </c>
      <c r="C51" s="26" t="s">
        <v>221</v>
      </c>
      <c r="D51" s="26" t="s">
        <v>222</v>
      </c>
      <c r="E51" s="26" t="s">
        <v>223</v>
      </c>
      <c r="F51" s="26" t="s">
        <v>224</v>
      </c>
      <c r="G51" s="26" t="s">
        <v>225</v>
      </c>
      <c r="H51" s="26" t="s">
        <v>226</v>
      </c>
      <c r="I51" s="26">
        <v>78.7</v>
      </c>
    </row>
    <row r="52" spans="2:9" ht="27" x14ac:dyDescent="0.4">
      <c r="B52" s="26" t="s">
        <v>271</v>
      </c>
      <c r="C52" s="26" t="s">
        <v>272</v>
      </c>
      <c r="D52" s="26" t="s">
        <v>273</v>
      </c>
      <c r="E52" s="26" t="s">
        <v>274</v>
      </c>
      <c r="F52" s="26" t="s">
        <v>275</v>
      </c>
      <c r="G52" s="26" t="s">
        <v>276</v>
      </c>
      <c r="H52" s="26" t="s">
        <v>270</v>
      </c>
      <c r="I52" s="26">
        <v>76.7</v>
      </c>
    </row>
  </sheetData>
  <mergeCells count="3">
    <mergeCell ref="A2:A3"/>
    <mergeCell ref="A4:A6"/>
    <mergeCell ref="A7:A13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23B5-0856-493E-9B35-7E022398A7B0}">
  <dimension ref="A1:P61"/>
  <sheetViews>
    <sheetView topLeftCell="A51" zoomScale="122" workbookViewId="0">
      <selection activeCell="D60" sqref="D60"/>
    </sheetView>
  </sheetViews>
  <sheetFormatPr defaultRowHeight="13.9" x14ac:dyDescent="0.4"/>
  <sheetData>
    <row r="1" spans="1:16" ht="38.25" x14ac:dyDescent="0.35">
      <c r="A1" s="27" t="s">
        <v>143</v>
      </c>
      <c r="B1" s="27" t="s">
        <v>144</v>
      </c>
      <c r="C1" s="27" t="s">
        <v>145</v>
      </c>
      <c r="D1" s="27" t="s">
        <v>146</v>
      </c>
      <c r="E1" s="27" t="s">
        <v>4</v>
      </c>
      <c r="F1" s="27" t="s">
        <v>5</v>
      </c>
      <c r="G1" s="37" t="s">
        <v>6</v>
      </c>
      <c r="H1" s="27" t="s">
        <v>182</v>
      </c>
      <c r="I1" s="27" t="s">
        <v>219</v>
      </c>
      <c r="J1" s="27" t="s">
        <v>218</v>
      </c>
      <c r="K1" s="27" t="s">
        <v>185</v>
      </c>
      <c r="L1" s="27" t="s">
        <v>180</v>
      </c>
      <c r="M1" s="27" t="s">
        <v>175</v>
      </c>
      <c r="N1" s="27" t="s">
        <v>177</v>
      </c>
      <c r="O1" s="45" t="s">
        <v>184</v>
      </c>
      <c r="P1" s="42" t="s">
        <v>220</v>
      </c>
    </row>
    <row r="2" spans="1:16" ht="25.5" x14ac:dyDescent="0.35">
      <c r="A2" s="27" t="s">
        <v>147</v>
      </c>
      <c r="B2" s="27" t="s">
        <v>148</v>
      </c>
      <c r="C2" s="28">
        <v>0</v>
      </c>
      <c r="D2" s="28">
        <v>0.43</v>
      </c>
      <c r="E2" s="28">
        <v>0.625</v>
      </c>
      <c r="F2" s="28">
        <v>0.25</v>
      </c>
      <c r="G2" s="38">
        <v>0.75</v>
      </c>
      <c r="H2" s="28">
        <v>0.6875</v>
      </c>
      <c r="I2" s="28">
        <v>0.72</v>
      </c>
      <c r="J2" s="28">
        <v>0.68</v>
      </c>
      <c r="K2" s="28">
        <v>0.69</v>
      </c>
      <c r="L2" s="28">
        <v>0.72</v>
      </c>
      <c r="M2" s="28">
        <v>0.73</v>
      </c>
      <c r="N2" s="28">
        <v>0.75</v>
      </c>
      <c r="O2" s="46">
        <v>0.77</v>
      </c>
      <c r="P2" s="42" t="s">
        <v>245</v>
      </c>
    </row>
    <row r="3" spans="1:16" ht="25.5" x14ac:dyDescent="0.35">
      <c r="A3" s="27" t="s">
        <v>149</v>
      </c>
      <c r="B3" s="27" t="s">
        <v>148</v>
      </c>
      <c r="C3" s="28">
        <v>0.55000000000000004</v>
      </c>
      <c r="D3" s="28">
        <v>0.46</v>
      </c>
      <c r="E3" s="28">
        <v>0.375</v>
      </c>
      <c r="F3" s="28">
        <v>0.5</v>
      </c>
      <c r="G3" s="38">
        <v>0.8125</v>
      </c>
      <c r="H3" s="28">
        <v>0.625</v>
      </c>
      <c r="I3" s="28">
        <v>0.5</v>
      </c>
      <c r="J3" s="28">
        <v>0.5</v>
      </c>
      <c r="K3" s="28">
        <v>0.49</v>
      </c>
      <c r="L3" s="28">
        <v>0.54</v>
      </c>
      <c r="M3" s="28">
        <v>0.63</v>
      </c>
      <c r="N3" s="28">
        <v>0.5</v>
      </c>
      <c r="O3" s="46">
        <v>0.52</v>
      </c>
      <c r="P3" s="42" t="s">
        <v>246</v>
      </c>
    </row>
    <row r="4" spans="1:16" ht="25.5" x14ac:dyDescent="0.35">
      <c r="A4" s="27" t="s">
        <v>150</v>
      </c>
      <c r="B4" s="27" t="s">
        <v>148</v>
      </c>
      <c r="C4" s="28">
        <v>0</v>
      </c>
      <c r="D4" s="28">
        <v>0.03</v>
      </c>
      <c r="E4" s="28">
        <v>6.25E-2</v>
      </c>
      <c r="F4" s="28">
        <v>0.25</v>
      </c>
      <c r="G4" s="38">
        <v>6.25E-2</v>
      </c>
      <c r="H4" s="28">
        <v>0.125</v>
      </c>
      <c r="I4" s="28">
        <v>0</v>
      </c>
      <c r="J4" s="28">
        <v>0.03</v>
      </c>
      <c r="K4" s="28">
        <v>0.09</v>
      </c>
      <c r="L4" s="28">
        <v>0.06</v>
      </c>
      <c r="M4" s="28">
        <v>0.01</v>
      </c>
      <c r="N4" s="28">
        <v>6.25E-2</v>
      </c>
      <c r="O4" s="46">
        <v>0.08</v>
      </c>
      <c r="P4" s="42" t="s">
        <v>247</v>
      </c>
    </row>
    <row r="5" spans="1:16" ht="25.5" x14ac:dyDescent="0.35">
      <c r="A5" s="27" t="s">
        <v>151</v>
      </c>
      <c r="B5" s="27" t="s">
        <v>148</v>
      </c>
      <c r="C5" s="28">
        <v>0</v>
      </c>
      <c r="D5" s="28">
        <v>0.61</v>
      </c>
      <c r="E5" s="28">
        <v>0.9375</v>
      </c>
      <c r="F5" s="28">
        <v>1</v>
      </c>
      <c r="G5" s="38">
        <v>1</v>
      </c>
      <c r="H5" s="28">
        <v>0.875</v>
      </c>
      <c r="I5" s="28">
        <v>0.79</v>
      </c>
      <c r="J5" s="28">
        <v>0.77</v>
      </c>
      <c r="K5" s="28">
        <v>0.55000000000000004</v>
      </c>
      <c r="L5" s="28">
        <v>0.56000000000000005</v>
      </c>
      <c r="M5" s="28">
        <v>0.56999999999999995</v>
      </c>
      <c r="N5" s="28">
        <v>0.875</v>
      </c>
      <c r="O5" s="46">
        <v>0.64</v>
      </c>
      <c r="P5" s="42" t="s">
        <v>248</v>
      </c>
    </row>
    <row r="6" spans="1:16" ht="25.5" x14ac:dyDescent="0.35">
      <c r="A6" s="27" t="s">
        <v>152</v>
      </c>
      <c r="B6" s="27" t="s">
        <v>148</v>
      </c>
      <c r="C6" s="28">
        <v>0</v>
      </c>
      <c r="D6" s="28">
        <v>0.24</v>
      </c>
      <c r="E6" s="28">
        <v>0.6</v>
      </c>
      <c r="F6" s="28">
        <v>0</v>
      </c>
      <c r="G6" s="38">
        <v>0.7</v>
      </c>
      <c r="H6" s="28">
        <v>0.4</v>
      </c>
      <c r="I6" s="28">
        <v>0.6</v>
      </c>
      <c r="J6" s="28">
        <v>0.6</v>
      </c>
      <c r="K6" s="28">
        <v>0.6</v>
      </c>
      <c r="L6" s="28">
        <v>0.4</v>
      </c>
      <c r="M6" s="28">
        <v>0.52</v>
      </c>
      <c r="N6" s="28">
        <v>0.7</v>
      </c>
      <c r="O6" s="46">
        <v>0.6</v>
      </c>
      <c r="P6" s="42" t="s">
        <v>249</v>
      </c>
    </row>
    <row r="7" spans="1:16" ht="25.5" x14ac:dyDescent="0.35">
      <c r="A7" s="27" t="s">
        <v>153</v>
      </c>
      <c r="B7" s="27" t="s">
        <v>148</v>
      </c>
      <c r="C7" s="28">
        <v>0</v>
      </c>
      <c r="D7" s="28">
        <v>0.03</v>
      </c>
      <c r="E7" s="28">
        <v>0.5625</v>
      </c>
      <c r="F7" s="28">
        <v>0.25</v>
      </c>
      <c r="G7" s="38">
        <v>0.9375</v>
      </c>
      <c r="H7" s="28">
        <v>0.9375</v>
      </c>
      <c r="I7" s="28">
        <v>0.86</v>
      </c>
      <c r="J7" s="28">
        <v>0.79</v>
      </c>
      <c r="K7" s="28">
        <v>0.54</v>
      </c>
      <c r="L7" s="28">
        <v>0.78</v>
      </c>
      <c r="M7" s="28">
        <v>0.83</v>
      </c>
      <c r="N7" s="28">
        <v>0.9375</v>
      </c>
      <c r="O7" s="46">
        <v>0.8</v>
      </c>
      <c r="P7" s="42" t="s">
        <v>250</v>
      </c>
    </row>
    <row r="8" spans="1:16" ht="25.5" x14ac:dyDescent="0.35">
      <c r="A8" s="27" t="s">
        <v>154</v>
      </c>
      <c r="B8" s="27" t="s">
        <v>148</v>
      </c>
      <c r="C8" s="28">
        <v>0.12</v>
      </c>
      <c r="D8" s="28">
        <v>0.08</v>
      </c>
      <c r="E8" s="28">
        <v>6.25E-2</v>
      </c>
      <c r="F8" s="28">
        <v>0.25</v>
      </c>
      <c r="G8" s="38">
        <v>0.1875</v>
      </c>
      <c r="H8" s="28">
        <v>0.1875</v>
      </c>
      <c r="I8" s="28">
        <v>0.14000000000000001</v>
      </c>
      <c r="J8" s="28">
        <v>0.14000000000000001</v>
      </c>
      <c r="K8" s="28">
        <v>0.14000000000000001</v>
      </c>
      <c r="L8" s="28">
        <v>0.14000000000000001</v>
      </c>
      <c r="M8" s="28">
        <v>0.14000000000000001</v>
      </c>
      <c r="N8" s="28">
        <v>0.25</v>
      </c>
      <c r="O8" s="46">
        <v>0.16</v>
      </c>
      <c r="P8" s="42" t="s">
        <v>251</v>
      </c>
    </row>
    <row r="9" spans="1:16" ht="25.5" x14ac:dyDescent="0.35">
      <c r="A9" s="27" t="s">
        <v>155</v>
      </c>
      <c r="B9" s="27" t="s">
        <v>156</v>
      </c>
      <c r="C9" s="28">
        <v>0</v>
      </c>
      <c r="D9" s="28">
        <v>0</v>
      </c>
      <c r="E9" s="28">
        <v>0.375</v>
      </c>
      <c r="F9" s="28">
        <v>0.375</v>
      </c>
      <c r="G9" s="38">
        <v>0.5</v>
      </c>
      <c r="H9" s="28">
        <v>0.5</v>
      </c>
      <c r="I9" s="28">
        <v>0.79</v>
      </c>
      <c r="J9" s="28">
        <v>0.79</v>
      </c>
      <c r="K9" s="28">
        <v>0.55000000000000004</v>
      </c>
      <c r="L9" s="28">
        <v>0.39</v>
      </c>
      <c r="M9" s="28">
        <v>0.45</v>
      </c>
      <c r="N9" s="28">
        <v>0.75</v>
      </c>
      <c r="O9" s="46">
        <v>0.79</v>
      </c>
      <c r="P9" s="42" t="s">
        <v>252</v>
      </c>
    </row>
    <row r="10" spans="1:16" ht="25.5" x14ac:dyDescent="0.35">
      <c r="A10" s="27" t="s">
        <v>157</v>
      </c>
      <c r="B10" s="27" t="s">
        <v>148</v>
      </c>
      <c r="C10" s="28">
        <v>0</v>
      </c>
      <c r="D10" s="28">
        <v>0.16</v>
      </c>
      <c r="E10" s="28">
        <v>0.6875</v>
      </c>
      <c r="F10" s="28">
        <v>0.5</v>
      </c>
      <c r="G10" s="38">
        <v>0.75</v>
      </c>
      <c r="H10" s="28">
        <v>0.6875</v>
      </c>
      <c r="I10" s="28">
        <v>0.81</v>
      </c>
      <c r="J10" s="28">
        <v>0.76</v>
      </c>
      <c r="K10" s="28">
        <v>0.79</v>
      </c>
      <c r="L10" s="28">
        <v>0.72</v>
      </c>
      <c r="M10" s="28">
        <v>0.79</v>
      </c>
      <c r="N10" s="28">
        <v>0.75</v>
      </c>
      <c r="O10" s="46">
        <v>0.73</v>
      </c>
      <c r="P10" s="42" t="s">
        <v>253</v>
      </c>
    </row>
    <row r="11" spans="1:16" ht="38.25" x14ac:dyDescent="0.35">
      <c r="A11" s="27" t="s">
        <v>158</v>
      </c>
      <c r="B11" s="27" t="s">
        <v>159</v>
      </c>
      <c r="C11" s="28">
        <v>0.03</v>
      </c>
      <c r="D11" s="28">
        <v>0.04</v>
      </c>
      <c r="E11" s="28">
        <v>0.5</v>
      </c>
      <c r="F11" s="28">
        <v>0.5</v>
      </c>
      <c r="G11" s="38">
        <v>0.75</v>
      </c>
      <c r="H11" s="28">
        <v>0.5</v>
      </c>
      <c r="I11" s="28">
        <v>0.16875000000000001</v>
      </c>
      <c r="J11" s="28">
        <v>0.16875000000000001</v>
      </c>
      <c r="K11" s="28">
        <v>0.16874999999999901</v>
      </c>
      <c r="L11" s="28" t="s">
        <v>178</v>
      </c>
      <c r="M11" s="28">
        <v>0.16875000000000001</v>
      </c>
      <c r="N11" s="28">
        <v>0.5</v>
      </c>
      <c r="O11" s="46" t="s">
        <v>178</v>
      </c>
      <c r="P11" s="42" t="s">
        <v>254</v>
      </c>
    </row>
    <row r="12" spans="1:16" ht="25.5" x14ac:dyDescent="0.35">
      <c r="A12" s="27" t="s">
        <v>160</v>
      </c>
      <c r="B12" s="27" t="s">
        <v>148</v>
      </c>
      <c r="C12" s="28">
        <v>0.02</v>
      </c>
      <c r="D12" s="28">
        <v>0.99</v>
      </c>
      <c r="E12" s="28">
        <v>1</v>
      </c>
      <c r="F12" s="28">
        <v>1</v>
      </c>
      <c r="G12" s="38">
        <v>1</v>
      </c>
      <c r="H12" s="28">
        <v>1</v>
      </c>
      <c r="I12" s="28">
        <v>0.02</v>
      </c>
      <c r="J12" s="28">
        <v>0.02</v>
      </c>
      <c r="K12" s="28">
        <v>0.02</v>
      </c>
      <c r="L12" s="28">
        <v>0.02</v>
      </c>
      <c r="M12" s="28">
        <v>0.02</v>
      </c>
      <c r="N12" s="28">
        <v>1</v>
      </c>
      <c r="O12" s="46">
        <v>0.02</v>
      </c>
      <c r="P12" s="42" t="s">
        <v>255</v>
      </c>
    </row>
    <row r="13" spans="1:16" ht="25.5" x14ac:dyDescent="0.35">
      <c r="A13" s="27" t="s">
        <v>161</v>
      </c>
      <c r="B13" s="27" t="s">
        <v>148</v>
      </c>
      <c r="C13" s="28">
        <v>0</v>
      </c>
      <c r="D13" s="28">
        <v>0.15</v>
      </c>
      <c r="E13" s="28">
        <v>0.25</v>
      </c>
      <c r="F13" s="28">
        <v>0.25</v>
      </c>
      <c r="G13" s="38">
        <v>0.4375</v>
      </c>
      <c r="H13" s="28">
        <v>0.3125</v>
      </c>
      <c r="I13" s="28">
        <v>0.36</v>
      </c>
      <c r="J13" s="28">
        <v>0.28999999999999998</v>
      </c>
      <c r="K13" s="28">
        <v>0.23</v>
      </c>
      <c r="L13" s="28">
        <v>0.31</v>
      </c>
      <c r="M13" s="28">
        <v>0.34</v>
      </c>
      <c r="N13" s="28">
        <v>0.4375</v>
      </c>
      <c r="O13" s="46">
        <v>0.44</v>
      </c>
      <c r="P13" s="42" t="s">
        <v>256</v>
      </c>
    </row>
    <row r="14" spans="1:16" ht="38.25" x14ac:dyDescent="0.35">
      <c r="A14" s="27" t="s">
        <v>162</v>
      </c>
      <c r="B14" s="27" t="s">
        <v>156</v>
      </c>
      <c r="C14" s="28">
        <v>0</v>
      </c>
      <c r="D14" s="28">
        <v>0.375</v>
      </c>
      <c r="E14" s="28">
        <v>0.125</v>
      </c>
      <c r="F14" s="28">
        <v>0</v>
      </c>
      <c r="G14" s="38">
        <v>0.375</v>
      </c>
      <c r="H14" s="28">
        <v>0.3125</v>
      </c>
      <c r="I14" s="28">
        <v>0.24</v>
      </c>
      <c r="J14" s="28">
        <v>0.3</v>
      </c>
      <c r="K14" s="28">
        <v>0.15</v>
      </c>
      <c r="L14" s="28">
        <v>0.15</v>
      </c>
      <c r="M14" s="28">
        <v>0.13</v>
      </c>
      <c r="N14" s="28">
        <v>0.25</v>
      </c>
      <c r="O14" s="46">
        <v>0.09</v>
      </c>
      <c r="P14" s="42" t="s">
        <v>257</v>
      </c>
    </row>
    <row r="15" spans="1:16" ht="25.5" x14ac:dyDescent="0.35">
      <c r="A15" s="27" t="s">
        <v>163</v>
      </c>
      <c r="B15" s="27" t="s">
        <v>148</v>
      </c>
      <c r="C15" s="28">
        <v>0.5</v>
      </c>
      <c r="D15" s="28">
        <v>0.83</v>
      </c>
      <c r="E15" s="28">
        <v>0.6875</v>
      </c>
      <c r="F15" s="28">
        <v>1</v>
      </c>
      <c r="G15" s="38">
        <v>1</v>
      </c>
      <c r="H15" s="28">
        <v>1</v>
      </c>
      <c r="I15" s="28">
        <v>0.87</v>
      </c>
      <c r="J15" s="28">
        <v>0.87</v>
      </c>
      <c r="K15" s="28">
        <v>0.86</v>
      </c>
      <c r="L15" s="28">
        <v>0.88</v>
      </c>
      <c r="M15" s="28">
        <v>0.88</v>
      </c>
      <c r="N15" s="28">
        <v>1</v>
      </c>
      <c r="O15" s="46">
        <v>0.84</v>
      </c>
      <c r="P15" s="42" t="s">
        <v>258</v>
      </c>
    </row>
    <row r="16" spans="1:16" ht="38.25" x14ac:dyDescent="0.35">
      <c r="A16" s="27" t="s">
        <v>164</v>
      </c>
      <c r="B16" s="27" t="s">
        <v>159</v>
      </c>
      <c r="C16" s="28">
        <v>0</v>
      </c>
      <c r="D16" s="28">
        <v>0.27383999999999997</v>
      </c>
      <c r="E16" s="28">
        <v>0.42499999999999999</v>
      </c>
      <c r="F16" s="28">
        <v>0.2422</v>
      </c>
      <c r="G16" s="38">
        <v>0.46410000000000001</v>
      </c>
      <c r="H16" s="28">
        <v>1</v>
      </c>
      <c r="I16" s="28">
        <v>0.44830783299999999</v>
      </c>
      <c r="J16" s="28">
        <v>0.45296551400000001</v>
      </c>
      <c r="K16" s="28">
        <v>0.40934107012125498</v>
      </c>
      <c r="L16" s="28">
        <v>1</v>
      </c>
      <c r="M16" s="28">
        <v>0.45274300000000001</v>
      </c>
      <c r="N16" s="28">
        <v>1</v>
      </c>
      <c r="O16" s="46" t="s">
        <v>183</v>
      </c>
      <c r="P16" s="42" t="s">
        <v>259</v>
      </c>
    </row>
    <row r="17" spans="1:16" ht="25.5" x14ac:dyDescent="0.35">
      <c r="A17" s="27" t="s">
        <v>165</v>
      </c>
      <c r="B17" s="27" t="s">
        <v>148</v>
      </c>
      <c r="C17" s="28">
        <v>0</v>
      </c>
      <c r="D17" s="28">
        <v>0.99</v>
      </c>
      <c r="E17" s="28">
        <v>1</v>
      </c>
      <c r="F17" s="28">
        <v>1</v>
      </c>
      <c r="G17" s="38">
        <v>1</v>
      </c>
      <c r="H17" s="28">
        <v>0.25</v>
      </c>
      <c r="I17" s="28">
        <v>0.02</v>
      </c>
      <c r="J17" s="28">
        <v>0.02</v>
      </c>
      <c r="K17" s="28">
        <v>0.03</v>
      </c>
      <c r="L17" s="28">
        <v>0.18</v>
      </c>
      <c r="M17" s="28">
        <v>0.02</v>
      </c>
      <c r="N17" s="28">
        <v>0.3125</v>
      </c>
      <c r="O17" s="46">
        <v>0.02</v>
      </c>
      <c r="P17" s="42" t="s">
        <v>255</v>
      </c>
    </row>
    <row r="18" spans="1:16" ht="25.5" x14ac:dyDescent="0.35">
      <c r="A18" s="27" t="s">
        <v>166</v>
      </c>
      <c r="B18" s="27" t="s">
        <v>148</v>
      </c>
      <c r="C18" s="28">
        <v>0</v>
      </c>
      <c r="D18" s="28">
        <v>0.75</v>
      </c>
      <c r="E18" s="28">
        <v>0.9375</v>
      </c>
      <c r="F18" s="28">
        <v>1</v>
      </c>
      <c r="G18" s="38">
        <v>1</v>
      </c>
      <c r="H18" s="28">
        <v>0.9375</v>
      </c>
      <c r="I18" s="28">
        <v>0.93</v>
      </c>
      <c r="J18" s="28">
        <v>0.94</v>
      </c>
      <c r="K18" s="28">
        <v>0.95</v>
      </c>
      <c r="L18" s="28">
        <v>0.89</v>
      </c>
      <c r="M18" s="28">
        <v>0.97</v>
      </c>
      <c r="N18" s="28">
        <v>1</v>
      </c>
      <c r="O18" s="46">
        <v>0.96</v>
      </c>
      <c r="P18" s="42" t="s">
        <v>260</v>
      </c>
    </row>
    <row r="19" spans="1:16" ht="38.25" x14ac:dyDescent="0.35">
      <c r="A19" s="27" t="s">
        <v>167</v>
      </c>
      <c r="B19" s="27" t="s">
        <v>148</v>
      </c>
      <c r="C19" s="28">
        <v>0</v>
      </c>
      <c r="D19" s="28">
        <v>0.53</v>
      </c>
      <c r="E19" s="28">
        <v>1</v>
      </c>
      <c r="F19" s="28">
        <v>1</v>
      </c>
      <c r="G19" s="38">
        <v>1</v>
      </c>
      <c r="H19" s="28" t="s">
        <v>181</v>
      </c>
      <c r="I19" s="28">
        <v>0.99</v>
      </c>
      <c r="J19" s="28">
        <v>0.98</v>
      </c>
      <c r="K19" s="28">
        <v>1</v>
      </c>
      <c r="L19" s="28" t="s">
        <v>179</v>
      </c>
      <c r="M19" s="28">
        <v>0.99</v>
      </c>
      <c r="N19" s="28" t="s">
        <v>176</v>
      </c>
      <c r="O19" s="46">
        <v>0.99</v>
      </c>
      <c r="P19" s="42" t="s">
        <v>261</v>
      </c>
    </row>
    <row r="20" spans="1:16" ht="25.5" x14ac:dyDescent="0.35">
      <c r="A20" s="27" t="s">
        <v>168</v>
      </c>
      <c r="B20" s="27" t="s">
        <v>148</v>
      </c>
      <c r="C20" s="28">
        <v>0</v>
      </c>
      <c r="D20" s="28">
        <v>0.1</v>
      </c>
      <c r="E20" s="28">
        <v>0.1875</v>
      </c>
      <c r="F20" s="28">
        <v>0.5</v>
      </c>
      <c r="G20" s="38">
        <v>0.3125</v>
      </c>
      <c r="H20" s="28">
        <v>1</v>
      </c>
      <c r="I20" s="28">
        <v>0.25</v>
      </c>
      <c r="J20" s="28">
        <v>0.26</v>
      </c>
      <c r="K20" s="28">
        <v>0.2</v>
      </c>
      <c r="L20" s="28">
        <v>0.02</v>
      </c>
      <c r="M20" s="28">
        <v>0.27</v>
      </c>
      <c r="N20" s="28">
        <v>1</v>
      </c>
      <c r="O20" s="46">
        <v>0.28999999999999998</v>
      </c>
      <c r="P20" s="42" t="s">
        <v>262</v>
      </c>
    </row>
    <row r="21" spans="1:16" ht="25.5" x14ac:dyDescent="0.35">
      <c r="A21" s="27" t="s">
        <v>169</v>
      </c>
      <c r="B21" s="27" t="s">
        <v>148</v>
      </c>
      <c r="C21" s="28">
        <v>0</v>
      </c>
      <c r="D21" s="28">
        <v>0.2</v>
      </c>
      <c r="E21" s="28">
        <v>0.315</v>
      </c>
      <c r="F21" s="28">
        <v>0.25</v>
      </c>
      <c r="G21" s="38">
        <v>0.5</v>
      </c>
      <c r="H21" s="28">
        <v>0.3125</v>
      </c>
      <c r="I21" s="28">
        <v>0.24</v>
      </c>
      <c r="J21" s="28">
        <v>0.27</v>
      </c>
      <c r="K21" s="28">
        <v>0.23</v>
      </c>
      <c r="L21" s="28">
        <v>0.26</v>
      </c>
      <c r="M21" s="28">
        <v>0.27</v>
      </c>
      <c r="N21" s="28">
        <v>0.5</v>
      </c>
      <c r="O21" s="46">
        <v>0.3</v>
      </c>
      <c r="P21" s="42" t="s">
        <v>263</v>
      </c>
    </row>
    <row r="22" spans="1:16" ht="25.5" x14ac:dyDescent="0.35">
      <c r="A22" s="27" t="s">
        <v>170</v>
      </c>
      <c r="B22" s="27" t="s">
        <v>148</v>
      </c>
      <c r="C22" s="28">
        <v>0</v>
      </c>
      <c r="D22" s="28">
        <v>7.0000000000000007E-2</v>
      </c>
      <c r="E22" s="28">
        <v>0.06</v>
      </c>
      <c r="F22" s="28">
        <v>0.5</v>
      </c>
      <c r="G22" s="38">
        <v>0.315</v>
      </c>
      <c r="H22" s="28">
        <v>0.3125</v>
      </c>
      <c r="I22" s="28">
        <v>0.26</v>
      </c>
      <c r="J22" s="28">
        <v>0.23</v>
      </c>
      <c r="K22" s="28">
        <v>0.32</v>
      </c>
      <c r="L22" s="28">
        <v>0.32</v>
      </c>
      <c r="M22" s="28">
        <v>0.25</v>
      </c>
      <c r="N22" s="28">
        <v>0.375</v>
      </c>
      <c r="O22" s="46">
        <v>0.28000000000000003</v>
      </c>
      <c r="P22" s="42" t="s">
        <v>264</v>
      </c>
    </row>
    <row r="23" spans="1:16" ht="25.5" x14ac:dyDescent="0.35">
      <c r="A23" s="27" t="s">
        <v>171</v>
      </c>
      <c r="B23" s="27" t="s">
        <v>148</v>
      </c>
      <c r="C23" s="28">
        <v>0</v>
      </c>
      <c r="D23" s="28">
        <v>0</v>
      </c>
      <c r="E23" s="28">
        <v>0.6875</v>
      </c>
      <c r="F23" s="28">
        <v>0.5</v>
      </c>
      <c r="G23" s="38">
        <v>0.875</v>
      </c>
      <c r="H23" s="28">
        <v>0.5625</v>
      </c>
      <c r="I23" s="28">
        <v>0.73</v>
      </c>
      <c r="J23" s="28">
        <v>0.7</v>
      </c>
      <c r="K23" s="28">
        <v>0.56000000000000005</v>
      </c>
      <c r="L23" s="28">
        <v>0.47</v>
      </c>
      <c r="M23" s="28">
        <v>0.61</v>
      </c>
      <c r="N23" s="28">
        <v>0.9375</v>
      </c>
      <c r="O23" s="46">
        <v>0.69</v>
      </c>
      <c r="P23" s="42" t="s">
        <v>265</v>
      </c>
    </row>
    <row r="24" spans="1:16" ht="25.5" x14ac:dyDescent="0.35">
      <c r="A24" s="27" t="s">
        <v>172</v>
      </c>
      <c r="B24" s="27" t="s">
        <v>148</v>
      </c>
      <c r="C24" s="28">
        <v>0.03</v>
      </c>
      <c r="D24" s="28">
        <v>0.73</v>
      </c>
      <c r="E24" s="28">
        <v>0.87749999999999995</v>
      </c>
      <c r="F24" s="28">
        <v>1</v>
      </c>
      <c r="G24" s="38">
        <v>0.9375</v>
      </c>
      <c r="H24" s="28">
        <v>0.9375</v>
      </c>
      <c r="I24" s="28">
        <v>0.93</v>
      </c>
      <c r="J24" s="28">
        <v>0.97</v>
      </c>
      <c r="K24" s="28">
        <v>0.93</v>
      </c>
      <c r="L24" s="28">
        <v>0.89</v>
      </c>
      <c r="M24" s="28">
        <v>0.87</v>
      </c>
      <c r="N24" s="28">
        <v>1</v>
      </c>
      <c r="O24" s="46">
        <v>0.97</v>
      </c>
      <c r="P24" s="42" t="s">
        <v>266</v>
      </c>
    </row>
    <row r="25" spans="1:16" ht="25.5" x14ac:dyDescent="0.35">
      <c r="A25" s="27" t="s">
        <v>173</v>
      </c>
      <c r="B25" s="27" t="s">
        <v>174</v>
      </c>
      <c r="C25" s="28">
        <v>0</v>
      </c>
      <c r="D25" s="28">
        <v>0.02</v>
      </c>
      <c r="E25" s="28">
        <v>0.125</v>
      </c>
      <c r="F25" s="28">
        <v>0.25</v>
      </c>
      <c r="G25" s="38">
        <v>0.125</v>
      </c>
      <c r="H25" s="28">
        <v>0.25</v>
      </c>
      <c r="I25" s="28">
        <v>0.12</v>
      </c>
      <c r="J25" s="28">
        <v>0.14000000000000001</v>
      </c>
      <c r="K25" s="28">
        <v>0.12</v>
      </c>
      <c r="L25" s="28">
        <v>0.11</v>
      </c>
      <c r="M25" s="28">
        <v>0.09</v>
      </c>
      <c r="N25" s="28">
        <v>0.1875</v>
      </c>
      <c r="O25" s="46">
        <v>0.16</v>
      </c>
      <c r="P25" s="42" t="s">
        <v>267</v>
      </c>
    </row>
    <row r="26" spans="1:16" x14ac:dyDescent="0.35">
      <c r="A26" s="54" t="s">
        <v>71</v>
      </c>
      <c r="B26" s="54"/>
      <c r="C26" s="19">
        <f>AVERAGE(C2:C25)</f>
        <v>5.2083333333333343E-2</v>
      </c>
      <c r="D26" s="19">
        <f t="shared" ref="D26:L26" si="0">AVERAGE(D2:D25)</f>
        <v>0.33703499999999997</v>
      </c>
      <c r="E26" s="19">
        <f t="shared" si="0"/>
        <v>0.51937499999999992</v>
      </c>
      <c r="F26" s="19">
        <f t="shared" si="0"/>
        <v>0.51529999999999998</v>
      </c>
      <c r="G26" s="39">
        <f t="shared" si="0"/>
        <v>0.65798333333333325</v>
      </c>
      <c r="H26" s="19">
        <f t="shared" si="0"/>
        <v>0.59619565217391302</v>
      </c>
      <c r="I26" s="19">
        <f t="shared" si="0"/>
        <v>0.49112740970833335</v>
      </c>
      <c r="J26" s="19">
        <f t="shared" si="0"/>
        <v>0.48632147975000001</v>
      </c>
      <c r="K26" s="19">
        <f t="shared" si="0"/>
        <v>0.44242046125505236</v>
      </c>
      <c r="L26" s="19">
        <f t="shared" si="0"/>
        <v>0.44590909090909092</v>
      </c>
      <c r="M26" s="19">
        <f>AVERAGE(M2:M25)</f>
        <v>0.45839554166666652</v>
      </c>
      <c r="N26" s="19">
        <f>AVERAGE(N2:N25)</f>
        <v>0.65543478260869559</v>
      </c>
      <c r="O26" s="47">
        <f>AVERAGE(O2:O25)</f>
        <v>0.50636363636363635</v>
      </c>
      <c r="P26" s="42">
        <v>64.959999999999994</v>
      </c>
    </row>
    <row r="33" spans="1:13" x14ac:dyDescent="0.4">
      <c r="L33" s="12"/>
      <c r="M33" s="12"/>
    </row>
    <row r="34" spans="1:13" x14ac:dyDescent="0.4">
      <c r="L34" s="9"/>
      <c r="M34" s="9"/>
    </row>
    <row r="35" spans="1:13" ht="38.25" x14ac:dyDescent="0.35">
      <c r="A35" s="27" t="s">
        <v>143</v>
      </c>
      <c r="B35" s="27" t="s">
        <v>144</v>
      </c>
      <c r="C35" s="27" t="s">
        <v>219</v>
      </c>
      <c r="D35" s="27" t="s">
        <v>218</v>
      </c>
      <c r="E35" s="27" t="s">
        <v>185</v>
      </c>
      <c r="F35" s="27" t="s">
        <v>180</v>
      </c>
      <c r="G35" s="27" t="s">
        <v>175</v>
      </c>
      <c r="H35" s="45" t="s">
        <v>184</v>
      </c>
      <c r="I35" s="42" t="s">
        <v>220</v>
      </c>
      <c r="L35" s="9"/>
      <c r="M35" s="9"/>
    </row>
    <row r="36" spans="1:13" ht="25.5" x14ac:dyDescent="0.35">
      <c r="A36" s="27" t="s">
        <v>147</v>
      </c>
      <c r="B36" s="27" t="s">
        <v>148</v>
      </c>
      <c r="C36" s="28">
        <v>0.72</v>
      </c>
      <c r="D36" s="28">
        <v>0.68</v>
      </c>
      <c r="E36" s="28">
        <v>0.69</v>
      </c>
      <c r="F36" s="28">
        <v>0.72</v>
      </c>
      <c r="G36" s="28">
        <v>0.73</v>
      </c>
      <c r="H36" s="46">
        <v>0.77</v>
      </c>
      <c r="I36" s="42" t="s">
        <v>245</v>
      </c>
      <c r="L36" s="9"/>
      <c r="M36" s="9"/>
    </row>
    <row r="37" spans="1:13" ht="25.5" x14ac:dyDescent="0.35">
      <c r="A37" s="27" t="s">
        <v>149</v>
      </c>
      <c r="B37" s="27" t="s">
        <v>148</v>
      </c>
      <c r="C37" s="28">
        <v>0.5</v>
      </c>
      <c r="D37" s="28">
        <v>0.5</v>
      </c>
      <c r="E37" s="28">
        <v>0.49</v>
      </c>
      <c r="F37" s="28">
        <v>0.54</v>
      </c>
      <c r="G37" s="28">
        <v>0.63</v>
      </c>
      <c r="H37" s="46">
        <v>0.52</v>
      </c>
      <c r="I37" s="42" t="s">
        <v>246</v>
      </c>
      <c r="L37" s="9"/>
      <c r="M37" s="9"/>
    </row>
    <row r="38" spans="1:13" ht="25.5" x14ac:dyDescent="0.35">
      <c r="A38" s="27" t="s">
        <v>150</v>
      </c>
      <c r="B38" s="27" t="s">
        <v>148</v>
      </c>
      <c r="C38" s="28">
        <v>0</v>
      </c>
      <c r="D38" s="28">
        <v>0.03</v>
      </c>
      <c r="E38" s="28">
        <v>0.09</v>
      </c>
      <c r="F38" s="28">
        <v>0.06</v>
      </c>
      <c r="G38" s="28">
        <v>0.01</v>
      </c>
      <c r="H38" s="46">
        <v>0.08</v>
      </c>
      <c r="I38" s="42" t="s">
        <v>247</v>
      </c>
      <c r="L38" s="9"/>
      <c r="M38" s="9"/>
    </row>
    <row r="39" spans="1:13" ht="25.5" x14ac:dyDescent="0.35">
      <c r="A39" s="27" t="s">
        <v>151</v>
      </c>
      <c r="B39" s="27" t="s">
        <v>148</v>
      </c>
      <c r="C39" s="28">
        <v>0.79</v>
      </c>
      <c r="D39" s="28">
        <v>0.77</v>
      </c>
      <c r="E39" s="28">
        <v>0.55000000000000004</v>
      </c>
      <c r="F39" s="28">
        <v>0.56000000000000005</v>
      </c>
      <c r="G39" s="28">
        <v>0.56999999999999995</v>
      </c>
      <c r="H39" s="46">
        <v>0.64</v>
      </c>
      <c r="I39" s="42" t="s">
        <v>248</v>
      </c>
      <c r="L39" s="9"/>
      <c r="M39" s="9"/>
    </row>
    <row r="40" spans="1:13" ht="25.5" x14ac:dyDescent="0.35">
      <c r="A40" s="27" t="s">
        <v>152</v>
      </c>
      <c r="B40" s="27" t="s">
        <v>148</v>
      </c>
      <c r="C40" s="28">
        <v>0.6</v>
      </c>
      <c r="D40" s="28">
        <v>0.6</v>
      </c>
      <c r="E40" s="28">
        <v>0.6</v>
      </c>
      <c r="F40" s="28">
        <v>0.4</v>
      </c>
      <c r="G40" s="28">
        <v>0.52</v>
      </c>
      <c r="H40" s="46">
        <v>0.6</v>
      </c>
      <c r="I40" s="42" t="s">
        <v>249</v>
      </c>
      <c r="L40" s="9"/>
      <c r="M40" s="9"/>
    </row>
    <row r="41" spans="1:13" ht="25.5" x14ac:dyDescent="0.35">
      <c r="A41" s="27" t="s">
        <v>153</v>
      </c>
      <c r="B41" s="27" t="s">
        <v>148</v>
      </c>
      <c r="C41" s="28">
        <v>0.86</v>
      </c>
      <c r="D41" s="28">
        <v>0.79</v>
      </c>
      <c r="E41" s="28">
        <v>0.54</v>
      </c>
      <c r="F41" s="28">
        <v>0.78</v>
      </c>
      <c r="G41" s="28">
        <v>0.83</v>
      </c>
      <c r="H41" s="46">
        <v>0.8</v>
      </c>
      <c r="I41" s="42" t="s">
        <v>250</v>
      </c>
      <c r="J41" s="9"/>
      <c r="K41" s="9"/>
      <c r="L41" s="9"/>
      <c r="M41" s="9"/>
    </row>
    <row r="42" spans="1:13" ht="25.5" x14ac:dyDescent="0.35">
      <c r="A42" s="27" t="s">
        <v>154</v>
      </c>
      <c r="B42" s="27" t="s">
        <v>148</v>
      </c>
      <c r="C42" s="28">
        <v>0.14000000000000001</v>
      </c>
      <c r="D42" s="28">
        <v>0.14000000000000001</v>
      </c>
      <c r="E42" s="28">
        <v>0.14000000000000001</v>
      </c>
      <c r="F42" s="28">
        <v>0.14000000000000001</v>
      </c>
      <c r="G42" s="28">
        <v>0.14000000000000001</v>
      </c>
      <c r="H42" s="46">
        <v>0.16</v>
      </c>
      <c r="I42" s="42" t="s">
        <v>251</v>
      </c>
      <c r="J42" s="9"/>
      <c r="K42" s="9"/>
      <c r="L42" s="9"/>
      <c r="M42" s="9"/>
    </row>
    <row r="43" spans="1:13" ht="25.5" x14ac:dyDescent="0.35">
      <c r="A43" s="27" t="s">
        <v>155</v>
      </c>
      <c r="B43" s="27" t="s">
        <v>156</v>
      </c>
      <c r="C43" s="28">
        <v>0.79</v>
      </c>
      <c r="D43" s="28">
        <v>0.79</v>
      </c>
      <c r="E43" s="28">
        <v>0.55000000000000004</v>
      </c>
      <c r="F43" s="28">
        <v>0.39</v>
      </c>
      <c r="G43" s="28">
        <v>0.45</v>
      </c>
      <c r="H43" s="46">
        <v>0.79</v>
      </c>
      <c r="I43" s="42" t="s">
        <v>252</v>
      </c>
      <c r="J43" s="9"/>
      <c r="K43" s="9"/>
      <c r="L43" s="9"/>
      <c r="M43" s="9"/>
    </row>
    <row r="44" spans="1:13" ht="25.5" x14ac:dyDescent="0.35">
      <c r="A44" s="27" t="s">
        <v>157</v>
      </c>
      <c r="B44" s="27" t="s">
        <v>148</v>
      </c>
      <c r="C44" s="28">
        <v>0.81</v>
      </c>
      <c r="D44" s="28">
        <v>0.76</v>
      </c>
      <c r="E44" s="28">
        <v>0.79</v>
      </c>
      <c r="F44" s="28">
        <v>0.72</v>
      </c>
      <c r="G44" s="28">
        <v>0.79</v>
      </c>
      <c r="H44" s="46">
        <v>0.73</v>
      </c>
      <c r="I44" s="42" t="s">
        <v>253</v>
      </c>
      <c r="J44" s="9"/>
      <c r="K44" s="9"/>
      <c r="L44" s="9"/>
      <c r="M44" s="9"/>
    </row>
    <row r="45" spans="1:13" ht="25.5" x14ac:dyDescent="0.35">
      <c r="A45" s="27" t="s">
        <v>158</v>
      </c>
      <c r="B45" s="27" t="s">
        <v>159</v>
      </c>
      <c r="C45" s="28">
        <v>0.17</v>
      </c>
      <c r="D45" s="28">
        <v>0.17</v>
      </c>
      <c r="E45" s="28">
        <v>0.16874999999999901</v>
      </c>
      <c r="F45" s="28">
        <v>0.17</v>
      </c>
      <c r="G45" s="28">
        <v>0.17</v>
      </c>
      <c r="H45" s="46">
        <v>0.17</v>
      </c>
      <c r="I45" s="42" t="s">
        <v>254</v>
      </c>
      <c r="J45" s="9"/>
      <c r="K45" s="9"/>
      <c r="L45" s="9"/>
      <c r="M45" s="9"/>
    </row>
    <row r="46" spans="1:13" ht="25.5" x14ac:dyDescent="0.35">
      <c r="A46" s="27" t="s">
        <v>160</v>
      </c>
      <c r="B46" s="27" t="s">
        <v>148</v>
      </c>
      <c r="C46" s="28">
        <v>0.02</v>
      </c>
      <c r="D46" s="28">
        <v>0.02</v>
      </c>
      <c r="E46" s="28">
        <v>0.02</v>
      </c>
      <c r="F46" s="28">
        <v>0.02</v>
      </c>
      <c r="G46" s="28">
        <v>0.02</v>
      </c>
      <c r="H46" s="46">
        <v>0.02</v>
      </c>
      <c r="I46" s="42" t="s">
        <v>255</v>
      </c>
      <c r="J46" s="9"/>
      <c r="K46" s="9"/>
      <c r="L46" s="9"/>
      <c r="M46" s="9"/>
    </row>
    <row r="47" spans="1:13" ht="25.5" x14ac:dyDescent="0.35">
      <c r="A47" s="27" t="s">
        <v>161</v>
      </c>
      <c r="B47" s="27" t="s">
        <v>148</v>
      </c>
      <c r="C47" s="28">
        <v>0.36</v>
      </c>
      <c r="D47" s="28">
        <v>0.28999999999999998</v>
      </c>
      <c r="E47" s="28">
        <v>0.23</v>
      </c>
      <c r="F47" s="28">
        <v>0.31</v>
      </c>
      <c r="G47" s="28">
        <v>0.34</v>
      </c>
      <c r="H47" s="46">
        <v>0.44</v>
      </c>
      <c r="I47" s="42" t="s">
        <v>256</v>
      </c>
      <c r="J47" s="9"/>
      <c r="K47" s="9"/>
      <c r="L47" s="9"/>
      <c r="M47" s="9"/>
    </row>
    <row r="48" spans="1:13" ht="38.25" x14ac:dyDescent="0.35">
      <c r="A48" s="27" t="s">
        <v>162</v>
      </c>
      <c r="B48" s="27" t="s">
        <v>156</v>
      </c>
      <c r="C48" s="28">
        <v>0.24</v>
      </c>
      <c r="D48" s="28">
        <v>0.3</v>
      </c>
      <c r="E48" s="28">
        <v>0.15</v>
      </c>
      <c r="F48" s="28">
        <v>0.15</v>
      </c>
      <c r="G48" s="28">
        <v>0.13</v>
      </c>
      <c r="H48" s="46">
        <v>0.09</v>
      </c>
      <c r="I48" s="42" t="s">
        <v>257</v>
      </c>
      <c r="J48" s="9"/>
      <c r="K48" s="9"/>
      <c r="L48" s="9"/>
      <c r="M48" s="9"/>
    </row>
    <row r="49" spans="1:13" ht="25.5" x14ac:dyDescent="0.35">
      <c r="A49" s="27" t="s">
        <v>163</v>
      </c>
      <c r="B49" s="27" t="s">
        <v>148</v>
      </c>
      <c r="C49" s="28">
        <v>0.87</v>
      </c>
      <c r="D49" s="28">
        <v>0.87</v>
      </c>
      <c r="E49" s="28">
        <v>0.86</v>
      </c>
      <c r="F49" s="28">
        <v>0.88</v>
      </c>
      <c r="G49" s="28">
        <v>0.88</v>
      </c>
      <c r="H49" s="46">
        <v>0.84</v>
      </c>
      <c r="I49" s="42" t="s">
        <v>258</v>
      </c>
      <c r="J49" s="9"/>
      <c r="K49" s="9"/>
      <c r="L49" s="9"/>
      <c r="M49" s="9"/>
    </row>
    <row r="50" spans="1:13" ht="25.5" x14ac:dyDescent="0.35">
      <c r="A50" s="27" t="s">
        <v>164</v>
      </c>
      <c r="B50" s="27" t="s">
        <v>159</v>
      </c>
      <c r="C50" s="28">
        <v>0.45</v>
      </c>
      <c r="D50" s="28">
        <v>0.45</v>
      </c>
      <c r="E50" s="28">
        <v>0.41</v>
      </c>
      <c r="F50" s="28">
        <v>1</v>
      </c>
      <c r="G50" s="28">
        <v>0.45</v>
      </c>
      <c r="H50" s="46">
        <v>0.38</v>
      </c>
      <c r="I50" s="42" t="s">
        <v>259</v>
      </c>
      <c r="J50" s="9"/>
      <c r="K50" s="9"/>
      <c r="L50" s="9"/>
      <c r="M50" s="9"/>
    </row>
    <row r="51" spans="1:13" ht="25.5" x14ac:dyDescent="0.35">
      <c r="A51" s="27" t="s">
        <v>165</v>
      </c>
      <c r="B51" s="27" t="s">
        <v>148</v>
      </c>
      <c r="C51" s="28">
        <v>0.02</v>
      </c>
      <c r="D51" s="28">
        <v>0.02</v>
      </c>
      <c r="E51" s="28">
        <v>0.03</v>
      </c>
      <c r="F51" s="28">
        <v>0.18</v>
      </c>
      <c r="G51" s="28">
        <v>0.02</v>
      </c>
      <c r="H51" s="46">
        <v>0.02</v>
      </c>
      <c r="I51" s="42" t="s">
        <v>255</v>
      </c>
      <c r="J51" s="9"/>
      <c r="K51" s="9"/>
      <c r="L51" s="9"/>
      <c r="M51" s="9"/>
    </row>
    <row r="52" spans="1:13" ht="25.5" x14ac:dyDescent="0.35">
      <c r="A52" s="27" t="s">
        <v>166</v>
      </c>
      <c r="B52" s="27" t="s">
        <v>148</v>
      </c>
      <c r="C52" s="28">
        <v>0.93</v>
      </c>
      <c r="D52" s="28">
        <v>0.94</v>
      </c>
      <c r="E52" s="28">
        <v>0.95</v>
      </c>
      <c r="F52" s="28">
        <v>0.89</v>
      </c>
      <c r="G52" s="28">
        <v>0.97</v>
      </c>
      <c r="H52" s="46">
        <v>0.96</v>
      </c>
      <c r="I52" s="42" t="s">
        <v>260</v>
      </c>
      <c r="J52" s="9"/>
      <c r="K52" s="9"/>
      <c r="L52" s="9"/>
      <c r="M52" s="9"/>
    </row>
    <row r="53" spans="1:13" ht="25.5" x14ac:dyDescent="0.35">
      <c r="A53" s="27" t="s">
        <v>167</v>
      </c>
      <c r="B53" s="27" t="s">
        <v>148</v>
      </c>
      <c r="C53" s="28">
        <v>0.99</v>
      </c>
      <c r="D53" s="28">
        <v>0.98</v>
      </c>
      <c r="E53" s="28">
        <v>1</v>
      </c>
      <c r="F53" s="28">
        <v>0.3</v>
      </c>
      <c r="G53" s="28">
        <v>0.99</v>
      </c>
      <c r="H53" s="46">
        <v>0.99</v>
      </c>
      <c r="I53" s="42" t="s">
        <v>261</v>
      </c>
      <c r="J53" s="9"/>
      <c r="K53" s="9"/>
      <c r="L53" s="9"/>
      <c r="M53" s="9"/>
    </row>
    <row r="54" spans="1:13" ht="25.5" x14ac:dyDescent="0.35">
      <c r="A54" s="27" t="s">
        <v>168</v>
      </c>
      <c r="B54" s="27" t="s">
        <v>148</v>
      </c>
      <c r="C54" s="28">
        <v>0.25</v>
      </c>
      <c r="D54" s="28">
        <v>0.26</v>
      </c>
      <c r="E54" s="28">
        <v>0.2</v>
      </c>
      <c r="F54" s="28">
        <v>0.02</v>
      </c>
      <c r="G54" s="28">
        <v>0.27</v>
      </c>
      <c r="H54" s="46">
        <v>0.28999999999999998</v>
      </c>
      <c r="I54" s="42" t="s">
        <v>262</v>
      </c>
      <c r="J54" s="9"/>
      <c r="K54" s="9"/>
      <c r="L54" s="9"/>
      <c r="M54" s="9"/>
    </row>
    <row r="55" spans="1:13" ht="25.5" x14ac:dyDescent="0.35">
      <c r="A55" s="27" t="s">
        <v>169</v>
      </c>
      <c r="B55" s="27" t="s">
        <v>148</v>
      </c>
      <c r="C55" s="28">
        <v>0.24</v>
      </c>
      <c r="D55" s="28">
        <v>0.27</v>
      </c>
      <c r="E55" s="28">
        <v>0.23</v>
      </c>
      <c r="F55" s="28">
        <v>0.26</v>
      </c>
      <c r="G55" s="28">
        <v>0.27</v>
      </c>
      <c r="H55" s="46">
        <v>0.3</v>
      </c>
      <c r="I55" s="42" t="s">
        <v>263</v>
      </c>
      <c r="J55" s="9"/>
      <c r="K55" s="9"/>
      <c r="L55" s="9"/>
      <c r="M55" s="9"/>
    </row>
    <row r="56" spans="1:13" ht="25.5" x14ac:dyDescent="0.35">
      <c r="A56" s="27" t="s">
        <v>170</v>
      </c>
      <c r="B56" s="27" t="s">
        <v>148</v>
      </c>
      <c r="C56" s="28">
        <v>0.26</v>
      </c>
      <c r="D56" s="28">
        <v>0.23</v>
      </c>
      <c r="E56" s="28">
        <v>0.32</v>
      </c>
      <c r="F56" s="28">
        <v>0.32</v>
      </c>
      <c r="G56" s="28">
        <v>0.25</v>
      </c>
      <c r="H56" s="46">
        <v>0.28000000000000003</v>
      </c>
      <c r="I56" s="42" t="s">
        <v>264</v>
      </c>
      <c r="J56" s="9"/>
      <c r="K56" s="9"/>
      <c r="L56" s="9"/>
      <c r="M56" s="9"/>
    </row>
    <row r="57" spans="1:13" ht="25.5" x14ac:dyDescent="0.35">
      <c r="A57" s="27" t="s">
        <v>171</v>
      </c>
      <c r="B57" s="27" t="s">
        <v>148</v>
      </c>
      <c r="C57" s="28">
        <v>0.73</v>
      </c>
      <c r="D57" s="28">
        <v>0.7</v>
      </c>
      <c r="E57" s="28">
        <v>0.56000000000000005</v>
      </c>
      <c r="F57" s="28">
        <v>0.47</v>
      </c>
      <c r="G57" s="28">
        <v>0.61</v>
      </c>
      <c r="H57" s="46">
        <v>0.69</v>
      </c>
      <c r="I57" s="42" t="s">
        <v>265</v>
      </c>
      <c r="J57" s="9"/>
      <c r="K57" s="9"/>
      <c r="L57" s="9"/>
      <c r="M57" s="9"/>
    </row>
    <row r="58" spans="1:13" ht="25.5" x14ac:dyDescent="0.35">
      <c r="A58" s="27" t="s">
        <v>172</v>
      </c>
      <c r="B58" s="27" t="s">
        <v>148</v>
      </c>
      <c r="C58" s="28">
        <v>0.93</v>
      </c>
      <c r="D58" s="28">
        <v>0.97</v>
      </c>
      <c r="E58" s="28">
        <v>0.93</v>
      </c>
      <c r="F58" s="28">
        <v>0.89</v>
      </c>
      <c r="G58" s="28">
        <v>0.87</v>
      </c>
      <c r="H58" s="46">
        <v>0.97</v>
      </c>
      <c r="I58" s="42" t="s">
        <v>266</v>
      </c>
    </row>
    <row r="59" spans="1:13" ht="25.5" x14ac:dyDescent="0.35">
      <c r="A59" s="27" t="s">
        <v>173</v>
      </c>
      <c r="B59" s="27" t="s">
        <v>174</v>
      </c>
      <c r="C59" s="28">
        <v>0.12</v>
      </c>
      <c r="D59" s="28">
        <v>0.14000000000000001</v>
      </c>
      <c r="E59" s="28">
        <v>0.12</v>
      </c>
      <c r="F59" s="28">
        <v>0.11</v>
      </c>
      <c r="G59" s="28">
        <v>0.09</v>
      </c>
      <c r="H59" s="46">
        <v>0.16</v>
      </c>
      <c r="I59" s="42" t="s">
        <v>267</v>
      </c>
    </row>
    <row r="60" spans="1:13" x14ac:dyDescent="0.35">
      <c r="A60" s="54" t="s">
        <v>71</v>
      </c>
      <c r="B60" s="54"/>
      <c r="C60" s="19">
        <f t="shared" ref="C60:H60" si="1">AVERAGE(C36:C59)</f>
        <v>0.49125000000000002</v>
      </c>
      <c r="D60" s="19">
        <f t="shared" si="1"/>
        <v>0.48625000000000002</v>
      </c>
      <c r="E60" s="19">
        <f t="shared" si="1"/>
        <v>0.44244791666666666</v>
      </c>
      <c r="F60" s="19">
        <f t="shared" si="1"/>
        <v>0.42833333333333329</v>
      </c>
      <c r="G60" s="19">
        <f t="shared" si="1"/>
        <v>0.4583333333333332</v>
      </c>
      <c r="H60" s="47">
        <f t="shared" si="1"/>
        <v>0.48708333333333326</v>
      </c>
      <c r="I60" s="42">
        <v>64.959999999999994</v>
      </c>
      <c r="J60" s="48">
        <f>AVERAGE(E60:G60)</f>
        <v>0.44303819444444437</v>
      </c>
      <c r="K60">
        <f>AVERAGE(E60:G60)</f>
        <v>0.44303819444444437</v>
      </c>
    </row>
    <row r="61" spans="1:13" x14ac:dyDescent="0.4">
      <c r="H61">
        <f>AVERAGE(H36:H59)</f>
        <v>0.48708333333333326</v>
      </c>
    </row>
  </sheetData>
  <mergeCells count="2">
    <mergeCell ref="A26:B26"/>
    <mergeCell ref="A60:B60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257D-8126-44EB-9ECA-146C0ED63261}">
  <dimension ref="A1:X46"/>
  <sheetViews>
    <sheetView tabSelected="1" topLeftCell="G1" zoomScale="101" workbookViewId="0">
      <selection activeCell="P8" sqref="P8"/>
    </sheetView>
  </sheetViews>
  <sheetFormatPr defaultRowHeight="13.9" x14ac:dyDescent="0.4"/>
  <sheetData>
    <row r="1" spans="1:24" ht="25.5" x14ac:dyDescent="0.35">
      <c r="A1" s="29" t="s">
        <v>189</v>
      </c>
      <c r="B1" s="29" t="s">
        <v>190</v>
      </c>
      <c r="C1" s="29" t="s">
        <v>144</v>
      </c>
      <c r="D1" s="29" t="s">
        <v>191</v>
      </c>
      <c r="E1" s="29" t="s">
        <v>192</v>
      </c>
      <c r="F1" s="29" t="s">
        <v>4</v>
      </c>
      <c r="G1" s="29" t="s">
        <v>5</v>
      </c>
      <c r="H1" s="29" t="s">
        <v>193</v>
      </c>
      <c r="I1" s="35" t="s">
        <v>6</v>
      </c>
      <c r="J1" s="29" t="s">
        <v>215</v>
      </c>
      <c r="K1" s="29" t="s">
        <v>216</v>
      </c>
      <c r="L1" s="29" t="s">
        <v>217</v>
      </c>
      <c r="M1" s="41" t="s">
        <v>220</v>
      </c>
      <c r="P1" s="29" t="s">
        <v>189</v>
      </c>
      <c r="Q1" s="35" t="s">
        <v>6</v>
      </c>
      <c r="R1" s="29" t="s">
        <v>189</v>
      </c>
      <c r="S1" s="29" t="s">
        <v>190</v>
      </c>
      <c r="T1" s="29" t="s">
        <v>144</v>
      </c>
      <c r="U1" s="29" t="s">
        <v>215</v>
      </c>
      <c r="V1" s="29" t="s">
        <v>216</v>
      </c>
      <c r="W1" s="29" t="s">
        <v>217</v>
      </c>
      <c r="X1" s="41" t="s">
        <v>220</v>
      </c>
    </row>
    <row r="2" spans="1:24" ht="25.5" x14ac:dyDescent="0.35">
      <c r="A2" s="29" t="s">
        <v>194</v>
      </c>
      <c r="B2" s="29" t="s">
        <v>195</v>
      </c>
      <c r="C2" s="29" t="s">
        <v>196</v>
      </c>
      <c r="D2" s="30">
        <v>58.75</v>
      </c>
      <c r="E2" s="30">
        <v>52.5</v>
      </c>
      <c r="F2" s="30">
        <v>58.13</v>
      </c>
      <c r="G2" s="30">
        <v>56.69</v>
      </c>
      <c r="H2" s="30">
        <v>31.65</v>
      </c>
      <c r="I2" s="36">
        <v>58.75</v>
      </c>
      <c r="J2" s="30">
        <v>58.13</v>
      </c>
      <c r="K2" s="30">
        <v>58.437499400000007</v>
      </c>
      <c r="L2" s="30">
        <v>54.37</v>
      </c>
      <c r="M2" s="41" t="s">
        <v>227</v>
      </c>
      <c r="P2" s="29" t="s">
        <v>194</v>
      </c>
      <c r="Q2" s="36">
        <v>58.75</v>
      </c>
      <c r="R2" s="29" t="s">
        <v>194</v>
      </c>
      <c r="S2" s="29" t="s">
        <v>195</v>
      </c>
      <c r="T2" s="29" t="s">
        <v>196</v>
      </c>
      <c r="U2" s="30">
        <v>58.13</v>
      </c>
      <c r="V2" s="30">
        <v>58.437499400000007</v>
      </c>
      <c r="W2" s="30">
        <v>54.37</v>
      </c>
      <c r="X2" s="41" t="s">
        <v>227</v>
      </c>
    </row>
    <row r="3" spans="1:24" ht="25.5" x14ac:dyDescent="0.35">
      <c r="A3" s="29" t="s">
        <v>197</v>
      </c>
      <c r="B3" s="29" t="s">
        <v>195</v>
      </c>
      <c r="C3" s="29" t="s">
        <v>196</v>
      </c>
      <c r="D3" s="30">
        <v>64.290000000000006</v>
      </c>
      <c r="E3" s="30">
        <v>52.19</v>
      </c>
      <c r="F3" s="30">
        <v>64</v>
      </c>
      <c r="G3" s="30">
        <v>61.4</v>
      </c>
      <c r="H3" s="30">
        <v>2.54</v>
      </c>
      <c r="I3" s="36">
        <v>64.040000000000006</v>
      </c>
      <c r="J3" s="30">
        <v>67.11</v>
      </c>
      <c r="K3" s="30">
        <v>64.254385229999997</v>
      </c>
      <c r="L3" s="30">
        <v>65.790000000000006</v>
      </c>
      <c r="M3" s="41" t="s">
        <v>228</v>
      </c>
      <c r="P3" s="29" t="s">
        <v>197</v>
      </c>
      <c r="Q3" s="36">
        <v>64.040000000000006</v>
      </c>
      <c r="R3" s="29" t="s">
        <v>197</v>
      </c>
      <c r="S3" s="29" t="s">
        <v>195</v>
      </c>
      <c r="T3" s="29" t="s">
        <v>196</v>
      </c>
      <c r="U3" s="30">
        <v>67.11</v>
      </c>
      <c r="V3" s="30">
        <v>64.254385229999997</v>
      </c>
      <c r="W3" s="30">
        <v>65.790000000000006</v>
      </c>
      <c r="X3" s="41" t="s">
        <v>228</v>
      </c>
    </row>
    <row r="4" spans="1:24" ht="25.5" x14ac:dyDescent="0.35">
      <c r="A4" s="29" t="s">
        <v>198</v>
      </c>
      <c r="B4" s="29" t="s">
        <v>195</v>
      </c>
      <c r="C4" s="29" t="s">
        <v>196</v>
      </c>
      <c r="D4" s="30">
        <v>43.69</v>
      </c>
      <c r="E4" s="30">
        <v>57.16</v>
      </c>
      <c r="F4" s="30">
        <v>58.4</v>
      </c>
      <c r="G4" s="30">
        <v>63.79</v>
      </c>
      <c r="H4" s="30">
        <v>13.92</v>
      </c>
      <c r="I4" s="36">
        <v>61.47</v>
      </c>
      <c r="J4" s="30">
        <v>54.31</v>
      </c>
      <c r="K4" s="30">
        <v>63.654822109999998</v>
      </c>
      <c r="L4" s="30">
        <v>63.5</v>
      </c>
      <c r="M4" s="41" t="s">
        <v>229</v>
      </c>
      <c r="P4" s="29" t="s">
        <v>198</v>
      </c>
      <c r="Q4" s="36">
        <v>61.47</v>
      </c>
      <c r="R4" s="29" t="s">
        <v>198</v>
      </c>
      <c r="S4" s="29" t="s">
        <v>195</v>
      </c>
      <c r="T4" s="29" t="s">
        <v>196</v>
      </c>
      <c r="U4" s="30">
        <v>54.31</v>
      </c>
      <c r="V4" s="30">
        <v>63.654822109999998</v>
      </c>
      <c r="W4" s="30">
        <v>63.5</v>
      </c>
      <c r="X4" s="41" t="s">
        <v>229</v>
      </c>
    </row>
    <row r="5" spans="1:24" ht="25.5" x14ac:dyDescent="0.35">
      <c r="A5" s="29" t="s">
        <v>199</v>
      </c>
      <c r="B5" s="29" t="s">
        <v>195</v>
      </c>
      <c r="C5" s="29" t="s">
        <v>196</v>
      </c>
      <c r="D5" s="30">
        <v>47.89</v>
      </c>
      <c r="E5" s="30">
        <v>56.52</v>
      </c>
      <c r="F5" s="30">
        <v>75.599999999999994</v>
      </c>
      <c r="G5" s="30">
        <v>76.06</v>
      </c>
      <c r="H5" s="30">
        <v>56.96</v>
      </c>
      <c r="I5" s="36">
        <v>75.599999999999994</v>
      </c>
      <c r="J5" s="30">
        <v>72.790000000000006</v>
      </c>
      <c r="K5" s="30">
        <v>75.63138008</v>
      </c>
      <c r="L5" s="30">
        <v>74.680000000000007</v>
      </c>
      <c r="M5" s="41" t="s">
        <v>230</v>
      </c>
      <c r="P5" s="29" t="s">
        <v>199</v>
      </c>
      <c r="Q5" s="36">
        <v>75.599999999999994</v>
      </c>
      <c r="R5" s="29" t="s">
        <v>199</v>
      </c>
      <c r="S5" s="29" t="s">
        <v>195</v>
      </c>
      <c r="T5" s="29" t="s">
        <v>196</v>
      </c>
      <c r="U5" s="30">
        <v>72.790000000000006</v>
      </c>
      <c r="V5" s="30">
        <v>75.63138008</v>
      </c>
      <c r="W5" s="30">
        <v>74.680000000000007</v>
      </c>
      <c r="X5" s="41" t="s">
        <v>230</v>
      </c>
    </row>
    <row r="6" spans="1:24" ht="25.5" x14ac:dyDescent="0.35">
      <c r="A6" s="29" t="s">
        <v>200</v>
      </c>
      <c r="B6" s="29" t="s">
        <v>195</v>
      </c>
      <c r="C6" s="29" t="s">
        <v>196</v>
      </c>
      <c r="D6" s="30">
        <v>83.33</v>
      </c>
      <c r="E6" s="30">
        <v>83.12</v>
      </c>
      <c r="F6" s="30">
        <v>80.95</v>
      </c>
      <c r="G6" s="30">
        <v>73.59</v>
      </c>
      <c r="H6" s="30">
        <v>55.7</v>
      </c>
      <c r="I6" s="36">
        <v>79</v>
      </c>
      <c r="J6" s="30">
        <v>83.12</v>
      </c>
      <c r="K6" s="30">
        <v>83.333331349999995</v>
      </c>
      <c r="L6" s="30">
        <v>82.9</v>
      </c>
      <c r="M6" s="41" t="s">
        <v>231</v>
      </c>
      <c r="P6" s="29" t="s">
        <v>200</v>
      </c>
      <c r="Q6" s="36">
        <v>79</v>
      </c>
      <c r="R6" s="29" t="s">
        <v>200</v>
      </c>
      <c r="S6" s="29" t="s">
        <v>195</v>
      </c>
      <c r="T6" s="29" t="s">
        <v>196</v>
      </c>
      <c r="U6" s="30">
        <v>83.12</v>
      </c>
      <c r="V6" s="30">
        <v>83.333331349999995</v>
      </c>
      <c r="W6" s="30">
        <v>82.9</v>
      </c>
      <c r="X6" s="41" t="s">
        <v>231</v>
      </c>
    </row>
    <row r="7" spans="1:24" ht="38.25" x14ac:dyDescent="0.35">
      <c r="A7" s="29" t="s">
        <v>201</v>
      </c>
      <c r="B7" s="29" t="s">
        <v>195</v>
      </c>
      <c r="C7" s="29" t="s">
        <v>196</v>
      </c>
      <c r="D7" s="30">
        <v>58.19</v>
      </c>
      <c r="E7" s="30">
        <v>63.5</v>
      </c>
      <c r="F7" s="30">
        <v>56.5</v>
      </c>
      <c r="G7" s="30">
        <v>58.23</v>
      </c>
      <c r="H7" s="30">
        <v>37.97</v>
      </c>
      <c r="I7" s="36">
        <v>58.34</v>
      </c>
      <c r="J7" s="30">
        <v>52.85</v>
      </c>
      <c r="K7" s="30">
        <v>53.104692700000001</v>
      </c>
      <c r="L7" s="30">
        <v>52.96</v>
      </c>
      <c r="M7" s="41" t="s">
        <v>232</v>
      </c>
      <c r="P7" s="29" t="s">
        <v>201</v>
      </c>
      <c r="Q7" s="36">
        <v>58.34</v>
      </c>
      <c r="R7" s="29" t="s">
        <v>201</v>
      </c>
      <c r="S7" s="29" t="s">
        <v>195</v>
      </c>
      <c r="T7" s="29" t="s">
        <v>196</v>
      </c>
      <c r="U7" s="30">
        <v>52.85</v>
      </c>
      <c r="V7" s="30">
        <v>53.104692700000001</v>
      </c>
      <c r="W7" s="30">
        <v>52.96</v>
      </c>
      <c r="X7" s="41" t="s">
        <v>232</v>
      </c>
    </row>
    <row r="8" spans="1:24" ht="38.25" x14ac:dyDescent="0.35">
      <c r="A8" s="29" t="s">
        <v>202</v>
      </c>
      <c r="B8" s="29" t="s">
        <v>195</v>
      </c>
      <c r="C8" s="29" t="s">
        <v>196</v>
      </c>
      <c r="D8" s="30">
        <v>49.36</v>
      </c>
      <c r="E8" s="30">
        <v>37.659999999999997</v>
      </c>
      <c r="F8" s="30">
        <v>55.3</v>
      </c>
      <c r="G8" s="30">
        <v>67.23</v>
      </c>
      <c r="H8" s="30">
        <v>22.78</v>
      </c>
      <c r="I8" s="36">
        <v>55.3</v>
      </c>
      <c r="J8" s="30">
        <v>57.45</v>
      </c>
      <c r="K8" s="30">
        <v>55.744683739999999</v>
      </c>
      <c r="L8" s="30">
        <v>61.7</v>
      </c>
      <c r="M8" s="41" t="s">
        <v>233</v>
      </c>
      <c r="P8" s="29" t="s">
        <v>202</v>
      </c>
      <c r="Q8" s="36">
        <v>55.3</v>
      </c>
      <c r="R8" s="29" t="s">
        <v>202</v>
      </c>
      <c r="S8" s="29" t="s">
        <v>195</v>
      </c>
      <c r="T8" s="29" t="s">
        <v>196</v>
      </c>
      <c r="U8" s="30">
        <v>57.45</v>
      </c>
      <c r="V8" s="30">
        <v>55.744683739999999</v>
      </c>
      <c r="W8" s="30">
        <v>61.7</v>
      </c>
      <c r="X8" s="41" t="s">
        <v>233</v>
      </c>
    </row>
    <row r="9" spans="1:24" ht="25.5" x14ac:dyDescent="0.35">
      <c r="A9" s="29" t="s">
        <v>203</v>
      </c>
      <c r="B9" s="29" t="s">
        <v>195</v>
      </c>
      <c r="C9" s="29" t="s">
        <v>196</v>
      </c>
      <c r="D9" s="30">
        <v>69.22</v>
      </c>
      <c r="E9" s="30">
        <v>49.79</v>
      </c>
      <c r="F9" s="30">
        <v>52.28</v>
      </c>
      <c r="G9" s="30">
        <v>54.02</v>
      </c>
      <c r="H9" s="30">
        <v>35.44</v>
      </c>
      <c r="I9" s="36">
        <v>53.3</v>
      </c>
      <c r="J9" s="30">
        <v>51.24</v>
      </c>
      <c r="K9" s="30">
        <v>52.577316760000002</v>
      </c>
      <c r="L9" s="30">
        <v>50.82</v>
      </c>
      <c r="M9" s="41" t="s">
        <v>234</v>
      </c>
      <c r="P9" s="29" t="s">
        <v>203</v>
      </c>
      <c r="Q9" s="36">
        <v>53.3</v>
      </c>
      <c r="R9" s="29" t="s">
        <v>203</v>
      </c>
      <c r="S9" s="29" t="s">
        <v>195</v>
      </c>
      <c r="T9" s="29" t="s">
        <v>196</v>
      </c>
      <c r="U9" s="30">
        <v>51.24</v>
      </c>
      <c r="V9" s="30">
        <v>52.577316760000002</v>
      </c>
      <c r="W9" s="30">
        <v>50.82</v>
      </c>
      <c r="X9" s="41" t="s">
        <v>234</v>
      </c>
    </row>
    <row r="10" spans="1:24" ht="38.25" x14ac:dyDescent="0.35">
      <c r="A10" s="29" t="s">
        <v>204</v>
      </c>
      <c r="B10" s="29" t="s">
        <v>195</v>
      </c>
      <c r="C10" s="29" t="s">
        <v>196</v>
      </c>
      <c r="D10" s="30">
        <v>42.55</v>
      </c>
      <c r="E10" s="30">
        <v>40.82</v>
      </c>
      <c r="F10" s="30">
        <v>41.56</v>
      </c>
      <c r="G10" s="30">
        <v>41.42</v>
      </c>
      <c r="H10" s="30">
        <v>0</v>
      </c>
      <c r="I10" s="36">
        <v>43.4</v>
      </c>
      <c r="J10" s="30">
        <v>45.53</v>
      </c>
      <c r="K10" s="30">
        <v>44.53900754</v>
      </c>
      <c r="L10" s="30">
        <v>46.24</v>
      </c>
      <c r="M10" s="41" t="s">
        <v>235</v>
      </c>
      <c r="P10" s="29" t="s">
        <v>204</v>
      </c>
      <c r="Q10" s="36">
        <v>43.4</v>
      </c>
      <c r="R10" s="29" t="s">
        <v>204</v>
      </c>
      <c r="S10" s="29" t="s">
        <v>195</v>
      </c>
      <c r="T10" s="29" t="s">
        <v>196</v>
      </c>
      <c r="U10" s="30">
        <v>45.53</v>
      </c>
      <c r="V10" s="30">
        <v>44.53900754</v>
      </c>
      <c r="W10" s="30">
        <v>46.24</v>
      </c>
      <c r="X10" s="41" t="s">
        <v>235</v>
      </c>
    </row>
    <row r="11" spans="1:24" ht="25.5" x14ac:dyDescent="0.35">
      <c r="A11" s="29" t="s">
        <v>205</v>
      </c>
      <c r="B11" s="29" t="s">
        <v>195</v>
      </c>
      <c r="C11" s="29" t="s">
        <v>196</v>
      </c>
      <c r="D11" s="30">
        <v>12.44</v>
      </c>
      <c r="E11" s="30">
        <v>30.14</v>
      </c>
      <c r="F11" s="30">
        <v>32.53</v>
      </c>
      <c r="G11" s="30">
        <v>27.99</v>
      </c>
      <c r="H11" s="30">
        <v>21.52</v>
      </c>
      <c r="I11" s="36">
        <v>37.08</v>
      </c>
      <c r="J11" s="30">
        <v>25.84</v>
      </c>
      <c r="K11" s="30">
        <v>28.947368260000001</v>
      </c>
      <c r="L11" s="30">
        <v>28.95</v>
      </c>
      <c r="M11" s="41" t="s">
        <v>236</v>
      </c>
      <c r="P11" s="29" t="s">
        <v>205</v>
      </c>
      <c r="Q11" s="36">
        <v>37.08</v>
      </c>
      <c r="R11" s="29" t="s">
        <v>205</v>
      </c>
      <c r="S11" s="29" t="s">
        <v>195</v>
      </c>
      <c r="T11" s="29" t="s">
        <v>196</v>
      </c>
      <c r="U11" s="30">
        <v>25.84</v>
      </c>
      <c r="V11" s="30">
        <v>28.947368260000001</v>
      </c>
      <c r="W11" s="30">
        <v>28.95</v>
      </c>
      <c r="X11" s="41" t="s">
        <v>236</v>
      </c>
    </row>
    <row r="12" spans="1:24" ht="25.5" x14ac:dyDescent="0.35">
      <c r="A12" s="29" t="s">
        <v>206</v>
      </c>
      <c r="B12" s="29" t="s">
        <v>195</v>
      </c>
      <c r="C12" s="29" t="s">
        <v>196</v>
      </c>
      <c r="D12" s="30">
        <v>35.79</v>
      </c>
      <c r="E12" s="30">
        <v>42.38</v>
      </c>
      <c r="F12" s="30">
        <v>50.99</v>
      </c>
      <c r="G12" s="30">
        <v>50.99</v>
      </c>
      <c r="H12" s="30">
        <v>0</v>
      </c>
      <c r="I12" s="36">
        <v>52.32</v>
      </c>
      <c r="J12" s="30">
        <v>51.66</v>
      </c>
      <c r="K12" s="30">
        <v>50.993376970000007</v>
      </c>
      <c r="L12" s="30">
        <v>50.99</v>
      </c>
      <c r="M12" s="41" t="s">
        <v>237</v>
      </c>
      <c r="P12" s="29" t="s">
        <v>206</v>
      </c>
      <c r="Q12" s="36">
        <v>52.32</v>
      </c>
      <c r="R12" s="29" t="s">
        <v>206</v>
      </c>
      <c r="S12" s="29" t="s">
        <v>195</v>
      </c>
      <c r="T12" s="29" t="s">
        <v>196</v>
      </c>
      <c r="U12" s="30">
        <v>51.66</v>
      </c>
      <c r="V12" s="30">
        <v>50.993376970000007</v>
      </c>
      <c r="W12" s="30">
        <v>50.99</v>
      </c>
      <c r="X12" s="41" t="s">
        <v>237</v>
      </c>
    </row>
    <row r="13" spans="1:24" ht="25.5" x14ac:dyDescent="0.35">
      <c r="A13" s="29" t="s">
        <v>207</v>
      </c>
      <c r="B13" s="29" t="s">
        <v>195</v>
      </c>
      <c r="C13" s="29" t="s">
        <v>196</v>
      </c>
      <c r="D13" s="30">
        <v>52.37</v>
      </c>
      <c r="E13" s="30">
        <v>59.38</v>
      </c>
      <c r="F13" s="30">
        <v>56.5</v>
      </c>
      <c r="G13" s="30">
        <v>55.98</v>
      </c>
      <c r="H13" s="30">
        <v>2</v>
      </c>
      <c r="I13" s="36">
        <v>60.12</v>
      </c>
      <c r="J13" s="30">
        <v>58.56</v>
      </c>
      <c r="K13" s="30">
        <v>56.082475190000004</v>
      </c>
      <c r="L13" s="30">
        <v>58.45</v>
      </c>
      <c r="M13" s="41" t="s">
        <v>238</v>
      </c>
      <c r="P13" s="29" t="s">
        <v>207</v>
      </c>
      <c r="Q13" s="36">
        <v>60.12</v>
      </c>
      <c r="R13" s="29" t="s">
        <v>207</v>
      </c>
      <c r="S13" s="29" t="s">
        <v>195</v>
      </c>
      <c r="T13" s="29" t="s">
        <v>196</v>
      </c>
      <c r="U13" s="30">
        <v>58.56</v>
      </c>
      <c r="V13" s="30">
        <v>56.082475190000004</v>
      </c>
      <c r="W13" s="30">
        <v>58.45</v>
      </c>
      <c r="X13" s="41" t="s">
        <v>238</v>
      </c>
    </row>
    <row r="14" spans="1:24" ht="25.5" x14ac:dyDescent="0.35">
      <c r="A14" s="31"/>
      <c r="B14" s="31"/>
      <c r="C14" s="31"/>
      <c r="D14" s="32">
        <f>AVERAGE(D2:D13)</f>
        <v>51.489166666666669</v>
      </c>
      <c r="E14" s="32">
        <f t="shared" ref="E14:L14" si="0">AVERAGE(E2:E13)</f>
        <v>52.096666666666664</v>
      </c>
      <c r="F14" s="32">
        <f t="shared" si="0"/>
        <v>56.895000000000003</v>
      </c>
      <c r="G14" s="32">
        <f t="shared" si="0"/>
        <v>57.282499999999999</v>
      </c>
      <c r="H14" s="32">
        <f t="shared" si="0"/>
        <v>23.373333333333331</v>
      </c>
      <c r="I14" s="32">
        <f t="shared" si="0"/>
        <v>58.226666666666681</v>
      </c>
      <c r="J14" s="32">
        <f t="shared" si="0"/>
        <v>56.549166666666679</v>
      </c>
      <c r="K14" s="32">
        <f t="shared" si="0"/>
        <v>57.275028277499985</v>
      </c>
      <c r="L14" s="32">
        <f t="shared" si="0"/>
        <v>57.612500000000004</v>
      </c>
      <c r="M14" s="32">
        <v>60.14</v>
      </c>
      <c r="P14" s="29" t="s">
        <v>208</v>
      </c>
      <c r="Q14" s="36">
        <v>0</v>
      </c>
      <c r="R14" s="55" t="s">
        <v>278</v>
      </c>
      <c r="S14" s="56"/>
      <c r="T14" s="31"/>
      <c r="U14" s="32">
        <f>AVERAGE(U2:U13)</f>
        <v>56.549166666666679</v>
      </c>
      <c r="V14" s="32">
        <f>AVERAGE(V2:V13)</f>
        <v>57.275028277499985</v>
      </c>
      <c r="W14" s="32">
        <f>AVERAGE(W2:W13)</f>
        <v>57.612500000000004</v>
      </c>
      <c r="X14" s="32">
        <v>60.14</v>
      </c>
    </row>
    <row r="15" spans="1:24" ht="51" x14ac:dyDescent="0.35">
      <c r="A15" s="29" t="s">
        <v>208</v>
      </c>
      <c r="B15" s="29" t="s">
        <v>209</v>
      </c>
      <c r="C15" s="29" t="s">
        <v>148</v>
      </c>
      <c r="D15" s="30">
        <v>0</v>
      </c>
      <c r="E15" s="30">
        <v>0</v>
      </c>
      <c r="F15" s="30">
        <v>0</v>
      </c>
      <c r="G15" s="30">
        <v>0</v>
      </c>
      <c r="H15" s="29" t="s">
        <v>210</v>
      </c>
      <c r="I15" s="36">
        <v>0</v>
      </c>
      <c r="J15" s="30">
        <v>0</v>
      </c>
      <c r="K15" s="30">
        <v>0</v>
      </c>
      <c r="L15" s="30">
        <v>0</v>
      </c>
      <c r="M15" s="41" t="s">
        <v>239</v>
      </c>
      <c r="P15" s="29" t="s">
        <v>277</v>
      </c>
      <c r="Q15" s="36">
        <v>89.7</v>
      </c>
      <c r="R15" s="29" t="s">
        <v>208</v>
      </c>
      <c r="S15" s="29" t="s">
        <v>209</v>
      </c>
      <c r="T15" s="29" t="s">
        <v>148</v>
      </c>
      <c r="U15" s="30">
        <v>0</v>
      </c>
      <c r="V15" s="30">
        <v>0</v>
      </c>
      <c r="W15" s="30">
        <v>0</v>
      </c>
      <c r="X15" s="41" t="s">
        <v>239</v>
      </c>
    </row>
    <row r="16" spans="1:24" ht="51" x14ac:dyDescent="0.35">
      <c r="A16" s="29" t="s">
        <v>277</v>
      </c>
      <c r="B16" s="29" t="s">
        <v>209</v>
      </c>
      <c r="C16" s="29" t="s">
        <v>148</v>
      </c>
      <c r="D16" s="30">
        <v>9.3000000000000007</v>
      </c>
      <c r="E16" s="30">
        <v>86</v>
      </c>
      <c r="F16" s="30">
        <v>67.13</v>
      </c>
      <c r="G16" s="30">
        <v>93.77</v>
      </c>
      <c r="H16" s="29" t="s">
        <v>210</v>
      </c>
      <c r="I16" s="36">
        <v>89.7</v>
      </c>
      <c r="J16" s="30">
        <v>84.7</v>
      </c>
      <c r="K16" s="30">
        <v>87.811896840000003</v>
      </c>
      <c r="L16" s="30">
        <v>89.74</v>
      </c>
      <c r="M16" s="41" t="s">
        <v>240</v>
      </c>
      <c r="P16" s="29" t="s">
        <v>211</v>
      </c>
      <c r="Q16" s="36">
        <v>15.71</v>
      </c>
      <c r="R16" s="29" t="s">
        <v>277</v>
      </c>
      <c r="S16" s="29" t="s">
        <v>209</v>
      </c>
      <c r="T16" s="29" t="s">
        <v>148</v>
      </c>
      <c r="U16" s="30">
        <v>84.7</v>
      </c>
      <c r="V16" s="30">
        <v>87.811896840000003</v>
      </c>
      <c r="W16" s="30">
        <v>89.74</v>
      </c>
      <c r="X16" s="41" t="s">
        <v>240</v>
      </c>
    </row>
    <row r="17" spans="1:24" ht="25.5" x14ac:dyDescent="0.35">
      <c r="A17" s="29" t="s">
        <v>211</v>
      </c>
      <c r="B17" s="29" t="s">
        <v>209</v>
      </c>
      <c r="C17" s="29" t="s">
        <v>148</v>
      </c>
      <c r="D17" s="30">
        <v>7.13</v>
      </c>
      <c r="E17" s="30">
        <v>0</v>
      </c>
      <c r="F17" s="30">
        <v>14.29</v>
      </c>
      <c r="G17" s="30">
        <v>33.33</v>
      </c>
      <c r="H17" s="29" t="s">
        <v>210</v>
      </c>
      <c r="I17" s="36">
        <v>15.71</v>
      </c>
      <c r="J17" s="30">
        <v>35.67</v>
      </c>
      <c r="K17" s="30">
        <v>34.432989689999999</v>
      </c>
      <c r="L17" s="30">
        <v>33.96</v>
      </c>
      <c r="M17" s="41" t="s">
        <v>241</v>
      </c>
      <c r="P17" s="29" t="s">
        <v>212</v>
      </c>
      <c r="Q17" s="36">
        <v>64.290000000000006</v>
      </c>
      <c r="R17" s="29" t="s">
        <v>211</v>
      </c>
      <c r="S17" s="29" t="s">
        <v>209</v>
      </c>
      <c r="T17" s="29" t="s">
        <v>148</v>
      </c>
      <c r="U17" s="30">
        <v>35.67</v>
      </c>
      <c r="V17" s="30">
        <v>34.432989689999999</v>
      </c>
      <c r="W17" s="30">
        <v>33.96</v>
      </c>
      <c r="X17" s="41" t="s">
        <v>241</v>
      </c>
    </row>
    <row r="18" spans="1:24" ht="25.5" x14ac:dyDescent="0.35">
      <c r="A18" s="29" t="s">
        <v>212</v>
      </c>
      <c r="B18" s="29" t="s">
        <v>209</v>
      </c>
      <c r="C18" s="29" t="s">
        <v>148</v>
      </c>
      <c r="D18" s="30">
        <v>5.53</v>
      </c>
      <c r="E18" s="30">
        <v>49.45</v>
      </c>
      <c r="F18" s="30">
        <v>57.14</v>
      </c>
      <c r="G18" s="30">
        <v>50</v>
      </c>
      <c r="H18" s="29" t="s">
        <v>210</v>
      </c>
      <c r="I18" s="36">
        <v>64.290000000000006</v>
      </c>
      <c r="J18" s="30">
        <v>52.03</v>
      </c>
      <c r="K18" s="30">
        <v>48.618784529999999</v>
      </c>
      <c r="L18" s="30">
        <v>50.72</v>
      </c>
      <c r="M18" s="41" t="s">
        <v>242</v>
      </c>
      <c r="P18" s="29" t="s">
        <v>213</v>
      </c>
      <c r="Q18" s="36">
        <v>98.43</v>
      </c>
      <c r="R18" s="29" t="s">
        <v>212</v>
      </c>
      <c r="S18" s="29" t="s">
        <v>209</v>
      </c>
      <c r="T18" s="29" t="s">
        <v>148</v>
      </c>
      <c r="U18" s="30">
        <v>52.03</v>
      </c>
      <c r="V18" s="30">
        <v>48.618784529999999</v>
      </c>
      <c r="W18" s="30">
        <v>50.72</v>
      </c>
      <c r="X18" s="41" t="s">
        <v>242</v>
      </c>
    </row>
    <row r="19" spans="1:24" ht="25.5" x14ac:dyDescent="0.35">
      <c r="A19" s="29" t="s">
        <v>213</v>
      </c>
      <c r="B19" s="29" t="s">
        <v>209</v>
      </c>
      <c r="C19" s="29" t="s">
        <v>148</v>
      </c>
      <c r="D19" s="30">
        <v>15.29</v>
      </c>
      <c r="E19" s="30">
        <v>93.85</v>
      </c>
      <c r="F19" s="30">
        <v>96.76</v>
      </c>
      <c r="G19" s="30">
        <v>100</v>
      </c>
      <c r="H19" s="29" t="s">
        <v>210</v>
      </c>
      <c r="I19" s="36">
        <v>98.43</v>
      </c>
      <c r="J19" s="30">
        <v>94.22</v>
      </c>
      <c r="K19" s="30">
        <v>97.188990000000004</v>
      </c>
      <c r="L19" s="30">
        <v>96.33</v>
      </c>
      <c r="M19" s="41" t="s">
        <v>243</v>
      </c>
      <c r="P19" s="29" t="s">
        <v>214</v>
      </c>
      <c r="Q19" s="36">
        <v>100</v>
      </c>
      <c r="R19" s="29" t="s">
        <v>213</v>
      </c>
      <c r="S19" s="29" t="s">
        <v>209</v>
      </c>
      <c r="T19" s="29" t="s">
        <v>148</v>
      </c>
      <c r="U19" s="30">
        <v>94.22</v>
      </c>
      <c r="V19" s="30">
        <v>97.188990000000004</v>
      </c>
      <c r="W19" s="30">
        <v>96.33</v>
      </c>
      <c r="X19" s="41" t="s">
        <v>243</v>
      </c>
    </row>
    <row r="20" spans="1:24" ht="25.5" x14ac:dyDescent="0.35">
      <c r="A20" s="29" t="s">
        <v>214</v>
      </c>
      <c r="B20" s="29" t="s">
        <v>209</v>
      </c>
      <c r="C20" s="29" t="s">
        <v>148</v>
      </c>
      <c r="D20" s="30">
        <v>0</v>
      </c>
      <c r="E20" s="30">
        <v>20.14</v>
      </c>
      <c r="F20" s="30">
        <v>96.43</v>
      </c>
      <c r="G20" s="30">
        <v>75</v>
      </c>
      <c r="H20" s="29" t="s">
        <v>210</v>
      </c>
      <c r="I20" s="36">
        <v>100</v>
      </c>
      <c r="J20" s="30">
        <v>94.2</v>
      </c>
      <c r="K20" s="30">
        <v>93.968915890000005</v>
      </c>
      <c r="L20" s="30">
        <v>98.32</v>
      </c>
      <c r="M20" s="41" t="s">
        <v>244</v>
      </c>
      <c r="R20" s="29" t="s">
        <v>214</v>
      </c>
      <c r="S20" s="29" t="s">
        <v>209</v>
      </c>
      <c r="T20" s="29" t="s">
        <v>148</v>
      </c>
      <c r="U20" s="30">
        <v>94.2</v>
      </c>
      <c r="V20" s="30">
        <v>93.968915890000005</v>
      </c>
      <c r="W20" s="30">
        <v>98.32</v>
      </c>
      <c r="X20" s="41" t="s">
        <v>244</v>
      </c>
    </row>
    <row r="21" spans="1:24" x14ac:dyDescent="0.35">
      <c r="A21" s="33"/>
      <c r="B21" s="33"/>
      <c r="C21" s="33"/>
      <c r="D21" s="34">
        <f>AVERAGE(D15:D20)</f>
        <v>6.208333333333333</v>
      </c>
      <c r="E21" s="34">
        <f t="shared" ref="E21:L21" si="1">AVERAGE(E15:E20)</f>
        <v>41.573333333333331</v>
      </c>
      <c r="F21" s="34">
        <f t="shared" si="1"/>
        <v>55.291666666666664</v>
      </c>
      <c r="G21" s="34">
        <f t="shared" si="1"/>
        <v>58.683333333333337</v>
      </c>
      <c r="H21" s="34" t="e">
        <f>AVERAGE(H15:H20)</f>
        <v>#DIV/0!</v>
      </c>
      <c r="I21" s="34">
        <f t="shared" si="1"/>
        <v>61.354999999999997</v>
      </c>
      <c r="J21" s="34">
        <f t="shared" si="1"/>
        <v>60.136666666666663</v>
      </c>
      <c r="K21" s="34">
        <f t="shared" si="1"/>
        <v>60.336929491666666</v>
      </c>
      <c r="L21" s="34">
        <f t="shared" si="1"/>
        <v>61.511666666666663</v>
      </c>
      <c r="M21" s="32">
        <v>62.33</v>
      </c>
      <c r="R21" s="57" t="s">
        <v>279</v>
      </c>
      <c r="S21" s="58"/>
      <c r="T21" s="33"/>
      <c r="U21" s="34">
        <f>AVERAGE(U15:U20)</f>
        <v>60.136666666666663</v>
      </c>
      <c r="V21" s="34">
        <f>AVERAGE(V15:V20)</f>
        <v>60.336929491666666</v>
      </c>
      <c r="W21" s="34">
        <f>AVERAGE(W15:W20)</f>
        <v>61.511666666666663</v>
      </c>
      <c r="X21" s="32">
        <v>62.33</v>
      </c>
    </row>
    <row r="28" spans="1:24" x14ac:dyDescent="0.4">
      <c r="D28" s="12"/>
      <c r="E28" s="12"/>
      <c r="F28" s="12"/>
      <c r="G28" s="12"/>
      <c r="H28" s="12"/>
      <c r="I28" s="12"/>
      <c r="J28" s="12"/>
      <c r="K28" s="12"/>
    </row>
    <row r="29" spans="1:24" x14ac:dyDescent="0.4">
      <c r="D29" s="40"/>
      <c r="E29" s="9"/>
      <c r="F29" s="9"/>
      <c r="G29" s="9"/>
      <c r="H29" s="9"/>
      <c r="I29" s="9"/>
      <c r="J29" s="9"/>
      <c r="K29" s="9"/>
    </row>
    <row r="30" spans="1:24" x14ac:dyDescent="0.4">
      <c r="D30" s="40"/>
      <c r="E30" s="9"/>
      <c r="F30" s="9"/>
      <c r="G30" s="9"/>
      <c r="H30" s="9"/>
      <c r="I30" s="9"/>
      <c r="J30" s="9"/>
      <c r="K30" s="9"/>
    </row>
    <row r="31" spans="1:24" x14ac:dyDescent="0.4">
      <c r="D31" s="40"/>
      <c r="E31" s="9"/>
      <c r="F31" s="9"/>
      <c r="G31" s="9"/>
      <c r="H31" s="9"/>
      <c r="I31" s="9"/>
      <c r="J31" s="9"/>
      <c r="K31" s="9"/>
    </row>
    <row r="32" spans="1:24" x14ac:dyDescent="0.4">
      <c r="D32" s="40"/>
      <c r="E32" s="9"/>
      <c r="F32" s="9"/>
      <c r="G32" s="9"/>
      <c r="H32" s="9"/>
      <c r="I32" s="9"/>
      <c r="J32" s="9"/>
      <c r="K32" s="9"/>
    </row>
    <row r="33" spans="4:11" x14ac:dyDescent="0.4">
      <c r="D33" s="40"/>
      <c r="E33" s="9"/>
      <c r="F33" s="9"/>
      <c r="G33" s="9"/>
      <c r="H33" s="9"/>
      <c r="I33" s="9"/>
      <c r="J33" s="9"/>
      <c r="K33" s="9"/>
    </row>
    <row r="34" spans="4:11" x14ac:dyDescent="0.4">
      <c r="D34" s="40"/>
      <c r="E34" s="9"/>
      <c r="F34" s="9"/>
      <c r="G34" s="9"/>
      <c r="H34" s="9"/>
      <c r="I34" s="9"/>
      <c r="J34" s="9"/>
      <c r="K34" s="9"/>
    </row>
    <row r="35" spans="4:11" x14ac:dyDescent="0.4">
      <c r="D35" s="40"/>
      <c r="E35" s="9"/>
      <c r="F35" s="9"/>
      <c r="G35" s="9"/>
      <c r="H35" s="9"/>
      <c r="I35" s="9"/>
      <c r="J35" s="9"/>
      <c r="K35" s="9"/>
    </row>
    <row r="36" spans="4:11" x14ac:dyDescent="0.4">
      <c r="D36" s="40"/>
      <c r="E36" s="9"/>
      <c r="F36" s="9"/>
      <c r="G36" s="9"/>
      <c r="H36" s="9"/>
      <c r="I36" s="9"/>
      <c r="J36" s="9"/>
      <c r="K36" s="9"/>
    </row>
    <row r="37" spans="4:11" x14ac:dyDescent="0.4">
      <c r="D37" s="40"/>
      <c r="E37" s="9"/>
      <c r="F37" s="9"/>
      <c r="G37" s="9"/>
      <c r="H37" s="9"/>
      <c r="I37" s="9"/>
      <c r="J37" s="9"/>
      <c r="K37" s="9"/>
    </row>
    <row r="38" spans="4:11" x14ac:dyDescent="0.4">
      <c r="D38" s="40"/>
      <c r="E38" s="9"/>
      <c r="F38" s="9"/>
      <c r="G38" s="9"/>
      <c r="H38" s="9"/>
      <c r="I38" s="9"/>
      <c r="J38" s="9"/>
      <c r="K38" s="9"/>
    </row>
    <row r="39" spans="4:11" x14ac:dyDescent="0.4">
      <c r="D39" s="40"/>
      <c r="E39" s="9"/>
      <c r="F39" s="9"/>
      <c r="G39" s="9"/>
      <c r="H39" s="9"/>
      <c r="I39" s="9"/>
      <c r="J39" s="9"/>
      <c r="K39" s="9"/>
    </row>
    <row r="40" spans="4:11" x14ac:dyDescent="0.4">
      <c r="D40" s="40"/>
      <c r="E40" s="9"/>
      <c r="F40" s="9"/>
      <c r="G40" s="9"/>
      <c r="H40" s="9"/>
      <c r="I40" s="9"/>
      <c r="J40" s="9"/>
      <c r="K40" s="9"/>
    </row>
    <row r="41" spans="4:11" x14ac:dyDescent="0.4">
      <c r="D41" s="40"/>
      <c r="E41" s="9"/>
      <c r="F41" s="9"/>
      <c r="G41" s="9"/>
      <c r="H41" s="9"/>
      <c r="I41" s="9"/>
      <c r="J41" s="9"/>
      <c r="K41" s="9"/>
    </row>
    <row r="42" spans="4:11" x14ac:dyDescent="0.4">
      <c r="D42" s="40"/>
      <c r="E42" s="9"/>
      <c r="F42" s="9"/>
      <c r="G42" s="9"/>
      <c r="H42" s="9"/>
      <c r="I42" s="9"/>
      <c r="J42" s="9"/>
      <c r="K42" s="9"/>
    </row>
    <row r="43" spans="4:11" x14ac:dyDescent="0.4">
      <c r="D43" s="40"/>
      <c r="E43" s="9"/>
      <c r="F43" s="9"/>
      <c r="G43" s="9"/>
      <c r="H43" s="9"/>
      <c r="I43" s="9"/>
      <c r="J43" s="9"/>
      <c r="K43" s="9"/>
    </row>
    <row r="44" spans="4:11" x14ac:dyDescent="0.4">
      <c r="D44" s="40"/>
      <c r="E44" s="9"/>
      <c r="F44" s="9"/>
      <c r="G44" s="9"/>
      <c r="H44" s="9"/>
      <c r="I44" s="9"/>
      <c r="J44" s="9"/>
      <c r="K44" s="9"/>
    </row>
    <row r="45" spans="4:11" x14ac:dyDescent="0.4">
      <c r="D45" s="40"/>
      <c r="E45" s="9"/>
      <c r="F45" s="9"/>
      <c r="G45" s="9"/>
      <c r="H45" s="9"/>
      <c r="I45" s="9"/>
      <c r="J45" s="9"/>
      <c r="K45" s="9"/>
    </row>
    <row r="46" spans="4:11" x14ac:dyDescent="0.4">
      <c r="D46" s="40"/>
      <c r="E46" s="9"/>
      <c r="F46" s="9"/>
      <c r="G46" s="9"/>
      <c r="H46" s="9"/>
      <c r="I46" s="9"/>
      <c r="J46" s="9"/>
      <c r="K46" s="9"/>
    </row>
  </sheetData>
  <mergeCells count="2">
    <mergeCell ref="R14:S14"/>
    <mergeCell ref="R21:S2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MMLU</vt:lpstr>
      <vt:lpstr>FewShotTextClassification AVE</vt:lpstr>
      <vt:lpstr>II 24</vt:lpstr>
      <vt:lpstr>BBII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23 1</dc:creator>
  <cp:lastModifiedBy>23 1</cp:lastModifiedBy>
  <cp:lastPrinted>2026-05-12T11:27:09Z</cp:lastPrinted>
  <dcterms:created xsi:type="dcterms:W3CDTF">2026-01-12T05:59:28Z</dcterms:created>
  <dcterms:modified xsi:type="dcterms:W3CDTF">2026-05-17T07:35:30Z</dcterms:modified>
</cp:coreProperties>
</file>